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2D5BB98D-C3B3-47A3-9FE9-4D78DCDF9064}" xr6:coauthVersionLast="47" xr6:coauthVersionMax="47" xr10:uidLastSave="{00000000-0000-0000-0000-000000000000}"/>
  <bookViews>
    <workbookView xWindow="-108" yWindow="-108" windowWidth="23256" windowHeight="13176" firstSheet="1" activeTab="5" xr2:uid="{F24E4E74-8441-40B2-BD76-EC30F3603664}"/>
  </bookViews>
  <sheets>
    <sheet name="raw_customers" sheetId="3" r:id="rId1"/>
    <sheet name="customer" sheetId="4" r:id="rId2"/>
    <sheet name="Calculations" sheetId="5" r:id="rId3"/>
    <sheet name="Pre Analysis" sheetId="9" r:id="rId4"/>
    <sheet name="In Analysis" sheetId="11" r:id="rId5"/>
    <sheet name="Dashboard" sheetId="6" r:id="rId6"/>
    <sheet name="Dashboard (No Figure)" sheetId="8" state="hidden" r:id="rId7"/>
    <sheet name="Post Analysis " sheetId="12" r:id="rId8"/>
    <sheet name="Post Analysis  2" sheetId="13" r:id="rId9"/>
  </sheets>
  <definedNames>
    <definedName name="avgage">Calculations!$E$4</definedName>
    <definedName name="avgincome">Calculations!$H$4</definedName>
    <definedName name="ExternalData_1" localSheetId="1" hidden="1">'customer'!$A$1:$P$501</definedName>
    <definedName name="maxtenure">Calculations!$E$20</definedName>
    <definedName name="maxtenureval">Calculations!$E$19</definedName>
    <definedName name="Slicer_Customer_Segment">#N/A</definedName>
    <definedName name="Slicer_Region">#N/A</definedName>
    <definedName name="tenure">Calculations!$K$4</definedName>
    <definedName name="totalcustomer">Calculations!$B$4</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7" i="5" l="1" a="1"/>
  <c r="E17" i="5" s="1"/>
  <c r="E20" i="5" a="1"/>
  <c r="E20" i="5" s="1"/>
  <c r="E1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E221D4-F764-473E-BFD1-1E1BC1BCEC3B}"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<sst xmlns="http://schemas.openxmlformats.org/spreadsheetml/2006/main" count="8087" uniqueCount="1064">
  <si>
    <t>CustomerID</t>
  </si>
  <si>
    <t>Name</t>
  </si>
  <si>
    <t>Gender</t>
  </si>
  <si>
    <t>Age</t>
  </si>
  <si>
    <t>Region</t>
  </si>
  <si>
    <t>Occupation</t>
  </si>
  <si>
    <t>Income</t>
  </si>
  <si>
    <t>Customer_Segment</t>
  </si>
  <si>
    <t>Join_Date</t>
  </si>
  <si>
    <t>CUST0001</t>
  </si>
  <si>
    <t>Mrs. Deborah Dominguez MD</t>
  </si>
  <si>
    <t>Male</t>
  </si>
  <si>
    <t>North</t>
  </si>
  <si>
    <t>Doctor</t>
  </si>
  <si>
    <t>Retail</t>
  </si>
  <si>
    <t>CUST0002</t>
  </si>
  <si>
    <t>Erin Martinez</t>
  </si>
  <si>
    <t>Female</t>
  </si>
  <si>
    <t>East</t>
  </si>
  <si>
    <t>Trader</t>
  </si>
  <si>
    <t>Corporate</t>
  </si>
  <si>
    <t>CUST0003</t>
  </si>
  <si>
    <t>Amanda Harris</t>
  </si>
  <si>
    <t>Teacher</t>
  </si>
  <si>
    <t>Private</t>
  </si>
  <si>
    <t>CUST0004</t>
  </si>
  <si>
    <t>Candice Palmer</t>
  </si>
  <si>
    <t>Banker</t>
  </si>
  <si>
    <t>CUST0005</t>
  </si>
  <si>
    <t>Sandra Davis</t>
  </si>
  <si>
    <t>West</t>
  </si>
  <si>
    <t>Student</t>
  </si>
  <si>
    <t>CUST0006</t>
  </si>
  <si>
    <t>Vanessa Peterson</t>
  </si>
  <si>
    <t>South</t>
  </si>
  <si>
    <t>CUST0007</t>
  </si>
  <si>
    <t>Tyler Fischer</t>
  </si>
  <si>
    <t>Engineer</t>
  </si>
  <si>
    <t>CUST0008</t>
  </si>
  <si>
    <t>William Horton</t>
  </si>
  <si>
    <t>CUST0009</t>
  </si>
  <si>
    <t>Donna Williams</t>
  </si>
  <si>
    <t>Retired</t>
  </si>
  <si>
    <t>CUST0010</t>
  </si>
  <si>
    <t>Mary Casey</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</si>
  <si>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</si>
  <si>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</si>
  <si>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</si>
  <si>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</si>
  <si>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</si>
  <si>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</si>
  <si>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</si>
  <si>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</si>
  <si>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</si>
  <si>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</si>
  <si>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</si>
  <si>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</si>
  <si>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</si>
  <si>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</si>
  <si>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</si>
  <si>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</si>
  <si>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</si>
  <si>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</si>
  <si>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</si>
  <si>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</si>
  <si>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</si>
  <si>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</si>
  <si>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</si>
  <si>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</si>
  <si>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</si>
  <si>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</si>
  <si>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</si>
  <si>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</si>
  <si>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</si>
  <si>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</si>
  <si>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</si>
  <si>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</si>
  <si>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</si>
  <si>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</si>
  <si>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</si>
  <si>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</si>
  <si>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</si>
  <si>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</si>
  <si>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</si>
  <si>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</si>
  <si>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</si>
  <si>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</si>
  <si>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</si>
  <si>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</si>
  <si>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</si>
  <si>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</si>
  <si>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</si>
  <si>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</si>
  <si>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</si>
  <si>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</si>
  <si>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</si>
  <si>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</si>
  <si>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</si>
  <si>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</si>
  <si>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</si>
  <si>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</si>
  <si>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</si>
  <si>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</si>
  <si>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</si>
  <si>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</si>
  <si>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</si>
  <si>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</si>
  <si>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</si>
  <si>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</si>
  <si>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</si>
  <si>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</si>
  <si>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</si>
  <si>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</si>
  <si>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</si>
  <si>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</si>
  <si>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</si>
  <si>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</si>
  <si>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</si>
  <si>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</si>
  <si>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</si>
  <si>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</si>
  <si>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</si>
  <si>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</si>
  <si>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</si>
  <si>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</si>
  <si>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</si>
  <si>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</si>
  <si>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</si>
  <si>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</si>
  <si>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</si>
  <si>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Mrs. 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</si>
  <si>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</si>
  <si>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</si>
  <si>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</si>
  <si>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</si>
  <si>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</si>
  <si>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</si>
  <si>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</si>
  <si>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</si>
  <si>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</si>
  <si>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</si>
  <si>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</si>
  <si>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</si>
  <si>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</si>
  <si>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</si>
  <si>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</si>
  <si>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</si>
  <si>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</si>
  <si>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</si>
  <si>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</si>
  <si>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</si>
  <si>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</si>
  <si>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</si>
  <si>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</si>
  <si>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</si>
  <si>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</si>
  <si>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</si>
  <si>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</si>
  <si>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</si>
  <si>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</si>
  <si>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</si>
  <si>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</si>
  <si>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</si>
  <si>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</si>
  <si>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</si>
  <si>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</si>
  <si>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</si>
  <si>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</si>
  <si>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</si>
  <si>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</si>
  <si>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</si>
  <si>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</si>
  <si>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</si>
  <si>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</si>
  <si>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</si>
  <si>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</si>
  <si>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</si>
  <si>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</si>
  <si>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</si>
  <si>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</si>
  <si>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</si>
  <si>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</si>
  <si>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</si>
  <si>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</si>
  <si>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</si>
  <si>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</si>
  <si>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</si>
  <si>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</si>
  <si>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</si>
  <si>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</si>
  <si>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</si>
  <si>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</si>
  <si>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</si>
  <si>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</si>
  <si>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</si>
  <si>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</si>
  <si>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</si>
  <si>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</si>
  <si>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</si>
  <si>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</si>
  <si>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</si>
  <si>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</si>
  <si>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</si>
  <si>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</si>
  <si>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</si>
  <si>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</si>
  <si>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</si>
  <si>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</si>
  <si>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</si>
  <si>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</si>
  <si>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</si>
  <si>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</si>
  <si>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</si>
  <si>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</si>
  <si>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</si>
  <si>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</si>
  <si>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</si>
  <si>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</si>
  <si>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</si>
  <si>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</si>
  <si>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</si>
  <si>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</si>
  <si>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</si>
  <si>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</si>
  <si>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</si>
  <si>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</si>
  <si>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</si>
  <si>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</si>
  <si>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</si>
  <si>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</si>
  <si>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</si>
  <si>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</si>
  <si>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</si>
  <si>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</si>
  <si>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</si>
  <si>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</si>
  <si>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</si>
  <si>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</si>
  <si>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</si>
  <si>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</si>
  <si>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</si>
  <si>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</si>
  <si>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</si>
  <si>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</si>
  <si>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</si>
  <si>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</si>
  <si>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</si>
  <si>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</si>
  <si>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</si>
  <si>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</si>
  <si>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</si>
  <si>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</si>
  <si>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</si>
  <si>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</si>
  <si>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</si>
  <si>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</si>
  <si>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</si>
  <si>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</si>
  <si>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</si>
  <si>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</si>
  <si>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</si>
  <si>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</si>
  <si>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</si>
  <si>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</si>
  <si>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</si>
  <si>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</si>
  <si>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</si>
  <si>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</si>
  <si>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</si>
  <si>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</si>
  <si>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</si>
  <si>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</si>
  <si>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</si>
  <si>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</si>
  <si>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</si>
  <si>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</si>
  <si>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</si>
  <si>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</si>
  <si>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</si>
  <si>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</si>
  <si>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</si>
  <si>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</si>
  <si>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</si>
  <si>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</si>
  <si>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</si>
  <si>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</si>
  <si>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</si>
  <si>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</si>
  <si>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</si>
  <si>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</si>
  <si>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</si>
  <si>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</si>
  <si>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</si>
  <si>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</si>
  <si>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</si>
  <si>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</si>
  <si>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</si>
  <si>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</si>
  <si>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</si>
  <si>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</si>
  <si>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</si>
  <si>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</si>
  <si>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</si>
  <si>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</si>
  <si>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</si>
  <si>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</si>
  <si>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</si>
  <si>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</si>
  <si>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</si>
  <si>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</si>
  <si>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</si>
  <si>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</si>
  <si>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</si>
  <si>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</si>
  <si>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</si>
  <si>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</si>
  <si>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</si>
  <si>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</si>
  <si>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</si>
  <si>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</si>
  <si>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</si>
  <si>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</si>
  <si>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</si>
  <si>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</si>
  <si>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</si>
  <si>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</si>
  <si>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</si>
  <si>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</si>
  <si>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</si>
  <si>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</si>
  <si>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</si>
  <si>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</si>
  <si>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</si>
  <si>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</si>
  <si>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</si>
  <si>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</si>
  <si>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</si>
  <si>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</si>
  <si>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</si>
  <si>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</si>
  <si>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</si>
  <si>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</si>
  <si>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</si>
  <si>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</si>
  <si>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</si>
  <si>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</si>
  <si>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</si>
  <si>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</si>
  <si>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</si>
  <si>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</si>
  <si>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</si>
  <si>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</si>
  <si>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</si>
  <si>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</si>
  <si>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</si>
  <si>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</si>
  <si>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</si>
  <si>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</si>
  <si>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</si>
  <si>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</si>
  <si>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</si>
  <si>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</si>
  <si>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</si>
  <si>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</si>
  <si>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</si>
  <si>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</si>
  <si>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</si>
  <si>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</si>
  <si>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</si>
  <si>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</si>
  <si>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</si>
  <si>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</si>
  <si>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</si>
  <si>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</si>
  <si>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</si>
  <si>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</si>
  <si>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</si>
  <si>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</si>
  <si>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</si>
  <si>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</si>
  <si>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</si>
  <si>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</si>
  <si>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</si>
  <si>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</si>
  <si>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</si>
  <si>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</si>
  <si>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</si>
  <si>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</si>
  <si>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</si>
  <si>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</si>
  <si>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</si>
  <si>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</si>
  <si>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</si>
  <si>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</si>
  <si>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</si>
  <si>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</si>
  <si>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</si>
  <si>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</si>
  <si>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</si>
  <si>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</si>
  <si>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</si>
  <si>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</si>
  <si>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</si>
  <si>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</si>
  <si>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</si>
  <si>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</si>
  <si>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</si>
  <si>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</si>
  <si>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</si>
  <si>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</si>
  <si>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</si>
  <si>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</si>
  <si>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</si>
  <si>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</si>
  <si>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</si>
  <si>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</si>
  <si>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</si>
  <si>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</si>
  <si>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</si>
  <si>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</si>
  <si>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</si>
  <si>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</si>
  <si>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</si>
  <si>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</si>
  <si>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</si>
  <si>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</si>
  <si>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</si>
  <si>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</si>
  <si>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</si>
  <si>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</si>
  <si>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</si>
  <si>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</si>
  <si>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</si>
  <si>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</si>
  <si>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</si>
  <si>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</si>
  <si>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</si>
  <si>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</si>
  <si>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</si>
  <si>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</si>
  <si>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</si>
  <si>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</si>
  <si>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</si>
  <si>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</si>
  <si>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</si>
  <si>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</si>
  <si>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</si>
  <si>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</si>
  <si>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</si>
  <si>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</si>
  <si>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</si>
  <si>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</si>
  <si>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</si>
  <si>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</si>
  <si>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</si>
  <si>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</si>
  <si>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</si>
  <si>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</si>
  <si>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</si>
  <si>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</si>
  <si>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</si>
  <si>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</si>
  <si>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</si>
  <si>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</si>
  <si>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</si>
  <si>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</si>
  <si>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</si>
  <si>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</si>
  <si>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Mrs. 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</si>
  <si>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</si>
  <si>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</si>
  <si>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</si>
  <si>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</si>
  <si>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</si>
  <si>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</si>
  <si>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</si>
  <si>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</si>
  <si>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</si>
  <si>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</si>
  <si>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</si>
  <si>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</si>
  <si>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</si>
  <si>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</si>
  <si>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</si>
  <si>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</si>
  <si>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</si>
  <si>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</si>
  <si>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</si>
  <si>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</si>
  <si>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</si>
  <si>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</si>
  <si>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</si>
  <si>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</si>
  <si>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</si>
  <si>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</si>
  <si>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</si>
  <si>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</si>
  <si>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</si>
  <si>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</si>
  <si>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</si>
  <si>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</si>
  <si>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</si>
  <si>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</si>
  <si>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</si>
  <si>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</si>
  <si>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</si>
  <si>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</si>
  <si>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</si>
  <si>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</si>
  <si>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</si>
  <si>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</si>
  <si>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</si>
  <si>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</si>
  <si>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</si>
  <si>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</si>
  <si>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</si>
  <si>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</si>
  <si>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</si>
  <si>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</si>
  <si>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</si>
  <si>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</si>
  <si>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</si>
  <si>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</si>
  <si>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</si>
  <si>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</si>
  <si>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</si>
  <si>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</si>
  <si>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</si>
  <si>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</si>
  <si>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</si>
  <si>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</si>
  <si>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</si>
  <si>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</si>
  <si>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</si>
  <si>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</si>
  <si>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</si>
  <si>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</si>
  <si>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</si>
  <si>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</si>
  <si>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</si>
  <si>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</si>
  <si>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</si>
  <si>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</si>
  <si>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</si>
  <si>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</si>
  <si>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</si>
  <si>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</si>
  <si>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</si>
  <si>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</si>
  <si>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</si>
  <si>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</si>
  <si>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</si>
  <si>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</si>
  <si>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</si>
  <si>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Mr.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</si>
  <si>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</si>
  <si>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</si>
  <si>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</si>
  <si>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</si>
  <si>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</si>
  <si>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</si>
  <si>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</si>
  <si>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</si>
  <si>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</si>
  <si>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</si>
  <si>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</si>
  <si>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</si>
  <si>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</si>
  <si>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</si>
  <si>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</si>
  <si>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</si>
  <si>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</si>
  <si>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</si>
  <si>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</si>
  <si>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</si>
  <si>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</si>
  <si>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</si>
  <si>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</si>
  <si>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</si>
  <si>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</si>
  <si>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</si>
  <si>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</si>
  <si>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</si>
  <si>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</si>
  <si>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</si>
  <si>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</si>
  <si>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</si>
  <si>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</si>
  <si>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</si>
  <si>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</si>
  <si>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</si>
  <si>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</si>
  <si>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</si>
  <si>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</si>
  <si>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</si>
  <si>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</si>
  <si>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</si>
  <si>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</si>
  <si>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</si>
  <si>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</si>
  <si>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</si>
  <si>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</si>
  <si>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</si>
  <si>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</si>
  <si>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</si>
  <si>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</si>
  <si>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</si>
  <si>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</si>
  <si>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</si>
  <si>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</si>
  <si>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</si>
  <si>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</si>
  <si>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</si>
  <si>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</si>
  <si>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</si>
  <si>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</si>
  <si>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</si>
  <si>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</si>
  <si>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</si>
  <si>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</si>
  <si>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</si>
  <si>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</si>
  <si>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</si>
  <si>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</si>
  <si>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</si>
  <si>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</si>
  <si>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</si>
  <si>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</si>
  <si>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</si>
  <si>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</si>
  <si>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</si>
  <si>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</si>
  <si>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</si>
  <si>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</si>
  <si>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</si>
  <si>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</si>
  <si>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</si>
  <si>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</si>
  <si>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</si>
  <si>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</si>
  <si>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</si>
  <si>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</si>
  <si>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</si>
  <si>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</si>
  <si>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</si>
  <si>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</si>
  <si>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</si>
  <si>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</si>
  <si>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</si>
  <si>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</si>
  <si>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</si>
  <si>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</si>
  <si>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</si>
  <si>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</si>
  <si>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</si>
  <si>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</si>
  <si>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</si>
  <si>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</si>
  <si>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</si>
  <si>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</si>
  <si>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</si>
  <si>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</si>
  <si>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</si>
  <si>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</si>
  <si>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</si>
  <si>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</si>
  <si>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</si>
  <si>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</si>
  <si>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</si>
  <si>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</si>
  <si>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</si>
  <si>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</si>
  <si>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</si>
  <si>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</si>
  <si>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</si>
  <si>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</si>
  <si>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</si>
  <si>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</si>
  <si>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</si>
  <si>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</si>
  <si>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</si>
  <si>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</si>
  <si>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</si>
  <si>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</si>
  <si>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</si>
  <si>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</si>
  <si>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</si>
  <si>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</si>
  <si>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</si>
  <si>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</si>
  <si>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</si>
  <si>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</si>
  <si>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</si>
  <si>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</si>
  <si>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</si>
  <si>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</si>
  <si>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</si>
  <si>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</si>
  <si>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</si>
  <si>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</si>
  <si>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</si>
  <si>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</si>
  <si>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</si>
  <si>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</si>
  <si>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</si>
  <si>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</si>
  <si>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</si>
  <si>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</si>
  <si>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</si>
  <si>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</si>
  <si>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</si>
  <si>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</si>
  <si>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</si>
  <si>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</si>
  <si>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</si>
  <si>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</si>
  <si>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</si>
  <si>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</si>
  <si>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</si>
  <si>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</si>
  <si>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</si>
  <si>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</si>
  <si>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</si>
  <si>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</si>
  <si>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</si>
  <si>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</si>
  <si>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</si>
  <si>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</si>
  <si>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</si>
  <si>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</si>
  <si>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Mrs. 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</si>
  <si>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</si>
  <si>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</si>
  <si>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</si>
  <si>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</si>
  <si>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</si>
  <si>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</si>
  <si>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</si>
  <si>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</si>
  <si>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</si>
  <si>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</si>
  <si>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</si>
  <si>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</si>
  <si>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</si>
  <si>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</si>
  <si>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</si>
  <si>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</si>
  <si>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</si>
  <si>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</si>
  <si>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</si>
  <si>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</si>
  <si>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</si>
  <si>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</si>
  <si>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</si>
  <si>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</si>
  <si>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</si>
  <si>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</si>
  <si>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</si>
  <si>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</si>
  <si>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</si>
  <si>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</si>
  <si>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</si>
  <si>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</si>
  <si>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</si>
  <si>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</si>
  <si>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</si>
  <si>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</si>
  <si>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</si>
  <si>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</si>
  <si>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</si>
  <si>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</si>
  <si>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</si>
  <si>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</si>
  <si>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</si>
  <si>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</si>
  <si>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</si>
  <si>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</si>
  <si>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</si>
  <si>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</si>
  <si>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</si>
  <si>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</si>
  <si>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</si>
  <si>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</si>
  <si>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</si>
  <si>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</si>
  <si>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</si>
  <si>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</si>
  <si>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</si>
  <si>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</si>
  <si>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</si>
  <si>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</si>
  <si>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</si>
  <si>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</si>
  <si>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</si>
  <si>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</si>
  <si>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</si>
  <si>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</si>
  <si>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</si>
  <si>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</si>
  <si>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</si>
  <si>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</si>
  <si>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</si>
  <si>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</si>
  <si>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</si>
  <si>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</si>
  <si>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</si>
  <si>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</si>
  <si>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</si>
  <si>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</si>
  <si>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</si>
  <si>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</si>
  <si>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</si>
  <si>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</si>
  <si>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</si>
  <si>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</si>
  <si>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</si>
  <si>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</si>
  <si>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</si>
  <si>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</si>
  <si>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</si>
  <si>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</si>
  <si>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</si>
  <si>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</si>
  <si>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</si>
  <si>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</si>
  <si>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</si>
  <si>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</si>
  <si>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</si>
  <si>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</si>
  <si>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</si>
  <si>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</si>
  <si>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</si>
  <si>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</si>
  <si>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</si>
  <si>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</si>
  <si>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</si>
  <si>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</si>
  <si>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</si>
  <si>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</si>
  <si>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</si>
  <si>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</si>
  <si>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</si>
  <si>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</si>
  <si>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</si>
  <si>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</si>
  <si>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</si>
  <si>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</si>
  <si>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</si>
  <si>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</si>
  <si>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</si>
  <si>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</si>
  <si>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</si>
  <si>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</si>
  <si>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</si>
  <si>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</si>
  <si>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</si>
  <si>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</si>
  <si>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</si>
  <si>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</si>
  <si>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</si>
  <si>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</si>
  <si>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</si>
  <si>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</si>
  <si>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</si>
  <si>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</si>
  <si>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</si>
  <si>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</si>
  <si>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</si>
  <si>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</si>
  <si>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</si>
  <si>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</si>
  <si>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</si>
  <si>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</si>
  <si>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</si>
  <si>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</si>
  <si>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</si>
  <si>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</si>
  <si>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</si>
  <si>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</si>
  <si>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</si>
  <si>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</si>
  <si>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</si>
  <si>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</si>
  <si>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</si>
  <si>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</si>
  <si>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</si>
  <si>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</si>
  <si>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</si>
  <si>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</si>
  <si>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</si>
  <si>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</si>
  <si>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</si>
  <si>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</si>
  <si>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</si>
  <si>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</si>
  <si>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</si>
  <si>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</si>
  <si>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</si>
  <si>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</si>
  <si>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</si>
  <si>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</si>
  <si>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</si>
  <si>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</si>
  <si>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</si>
  <si>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</si>
  <si>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</si>
  <si>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</si>
  <si>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</si>
  <si>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</si>
  <si>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</si>
  <si>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</si>
  <si>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</si>
  <si>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</si>
  <si>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</si>
  <si>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</si>
  <si>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</si>
  <si>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</si>
  <si>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</si>
  <si>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</si>
  <si>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</si>
  <si>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</si>
  <si>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</si>
  <si>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</si>
  <si>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</si>
  <si>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</si>
  <si>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</si>
  <si>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</si>
  <si>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</si>
  <si>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</si>
  <si>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</si>
  <si>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</si>
  <si>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</si>
  <si>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</si>
  <si>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</si>
  <si>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</si>
  <si>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</si>
  <si>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</si>
  <si>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</si>
  <si>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</si>
  <si>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</si>
  <si>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</si>
  <si>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</si>
  <si>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</si>
  <si>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</si>
  <si>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</si>
  <si>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</si>
  <si>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</si>
  <si>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</si>
  <si>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</si>
  <si>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</si>
  <si>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</si>
  <si>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</si>
  <si>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</si>
  <si>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</si>
  <si>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</si>
  <si>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</si>
  <si>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</si>
  <si>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</si>
  <si>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</si>
  <si>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</si>
  <si>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</si>
  <si>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</si>
  <si>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</si>
  <si>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</si>
  <si>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</si>
  <si>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</si>
  <si>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</si>
  <si>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</si>
  <si>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</si>
  <si>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</si>
  <si>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</si>
  <si>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</si>
  <si>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</si>
  <si>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</si>
  <si>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</si>
  <si>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</si>
  <si>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</si>
  <si>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</si>
  <si>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</si>
  <si>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</si>
  <si>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</si>
  <si>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</si>
  <si>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</si>
  <si>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</si>
  <si>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</si>
  <si>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</si>
  <si>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</si>
  <si>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</si>
  <si>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</si>
  <si>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</si>
  <si>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</si>
  <si>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</si>
  <si>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</si>
  <si>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</si>
  <si>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</si>
  <si>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</si>
  <si>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</si>
  <si>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</si>
  <si>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</si>
  <si>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</si>
  <si>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</si>
  <si>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</si>
  <si>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</si>
  <si>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</si>
  <si>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</si>
  <si>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</si>
  <si>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</si>
  <si>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</si>
  <si>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</si>
  <si>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</si>
  <si>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</si>
  <si>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</si>
  <si>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</si>
  <si>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</si>
  <si>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</si>
  <si>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</si>
  <si>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</si>
  <si>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</si>
  <si>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</si>
  <si>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</si>
  <si>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</si>
  <si>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</si>
  <si>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</si>
  <si>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</si>
  <si>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Generations</t>
  </si>
  <si>
    <t>Age.1</t>
  </si>
  <si>
    <t>Tenure</t>
  </si>
  <si>
    <t>Income Bracket</t>
  </si>
  <si>
    <t>Deborah Dominguez MD</t>
  </si>
  <si>
    <t>Millenials</t>
  </si>
  <si>
    <t>Emerging</t>
  </si>
  <si>
    <t>High</t>
  </si>
  <si>
    <t>Gen X</t>
  </si>
  <si>
    <t>Loyal</t>
  </si>
  <si>
    <t>Medium</t>
  </si>
  <si>
    <t>Gen Z</t>
  </si>
  <si>
    <t>Legacy</t>
  </si>
  <si>
    <t>Low</t>
  </si>
  <si>
    <t>Boomers</t>
  </si>
  <si>
    <t>New</t>
  </si>
  <si>
    <t>Nicole Fitzpatrick</t>
  </si>
  <si>
    <t>Carrie Castro</t>
  </si>
  <si>
    <t>Carlos Wood</t>
  </si>
  <si>
    <t>Valerie Dunlap MD</t>
  </si>
  <si>
    <t>Row Labels</t>
  </si>
  <si>
    <t>Count of CustomerID</t>
  </si>
  <si>
    <t>Total Customers</t>
  </si>
  <si>
    <t>Average of Age</t>
  </si>
  <si>
    <t>Average of Income</t>
  </si>
  <si>
    <t>Column Labels</t>
  </si>
  <si>
    <t>Average of Age.1</t>
  </si>
  <si>
    <t>Avg Age</t>
  </si>
  <si>
    <t>Avg Income</t>
  </si>
  <si>
    <t>Average Tenure</t>
  </si>
  <si>
    <t>Customer By Tenure</t>
  </si>
  <si>
    <t>Customer By Age Group</t>
  </si>
  <si>
    <t>Customer By Occupation</t>
  </si>
  <si>
    <t>Customer By Income Bracket</t>
  </si>
  <si>
    <t>Customer Growth Over The Years</t>
  </si>
  <si>
    <t>Year</t>
  </si>
  <si>
    <t>Generations - Copy</t>
  </si>
  <si>
    <t>Customsorting</t>
  </si>
  <si>
    <t>Custom List</t>
  </si>
  <si>
    <t xml:space="preserve">Boomers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</si>
</sst>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t;=1000000]&quot;$&quot;0.0,,&quot;M&quot;;[&gt;=1000]&quot;$&quot;0.0,&quot;K&quot;;"/>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9" fontId="0" fillId="0" borderId="0" xfId="0" applyNumberFormat="1"/>
    <xf numFmtId="0" fontId="0" fillId="0" borderId="0" xfId="0" applyNumberFormat="1" applyAlignment="1">
      <alignment horizontal="center"/>
    </xf>
    <xf numFmtId="1" fontId="0" fillId="0" borderId="0" xfId="0" applyNumberFormat="1" applyAlignment="1">
      <alignment horizontal="center"/>
    </xf>
    <xf numFmtId="9" fontId="0" fillId="0" borderId="0" xfId="0" applyNumberFormat="1" applyAlignment="1">
      <alignment horizontal="center"/>
    </xf>
    <xf numFmtId="0" fontId="0" fillId="33" borderId="0" xfId="0" applyFill="1"/>
    <xf numFmtId="164" fontId="0" fillId="0" borderId="0" xfId="0" applyNumberFormat="1" applyAlignment="1">
      <alignment horizontal="center"/>
    </xf>
    <xf numFmtId="0" fontId="0" fillId="33" borderId="0" xfId="0"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alignment horizontal="center"/>
    </dxf>
    <dxf>
      <alignment horizontal="center"/>
    </dxf>
    <dxf>
      <numFmt numFmtId="1" formatCode="0"/>
    </dxf>
    <dxf>
      <numFmt numFmtId="13" formatCode="0%"/>
    </dxf>
    <dxf>
      <alignment horizontal="center"/>
    </dxf>
    <dxf>
      <numFmt numFmtId="1" formatCode="0"/>
    </dxf>
    <dxf>
      <numFmt numFmtId="13" formatCode="0%"/>
    </dxf>
    <dxf>
      <numFmt numFmtId="0" formatCode="General"/>
    </dxf>
    <dxf>
      <numFmt numFmtId="13" formatCode="0%"/>
    </dxf>
    <dxf>
      <numFmt numFmtId="164" formatCode="[&gt;=1000000]&quot;$&quot;0.0,,&quot;M&quot;;[&gt;=1000]&quot;$&quot;0.0,&quot;K&quot;;"/>
    </dxf>
    <dxf>
      <alignment horizontal="center"/>
    </dxf>
    <dxf>
      <numFmt numFmtId="1" formatCode="0"/>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b/>
        <color theme="1"/>
      </font>
      <border>
        <bottom style="thin">
          <color theme="4"/>
        </bottom>
        <vertical/>
        <horizontal/>
      </border>
    </dxf>
    <dxf>
      <font>
        <sz val="10"/>
        <color theme="1" tint="0.499984740745262"/>
        <name val="Arial"/>
        <family val="2"/>
        <scheme val="none"/>
      </font>
      <fill>
        <patternFill>
          <bgColor rgb="FFF0F0F0"/>
        </patternFill>
      </fill>
      <border diagonalUp="0" diagonalDown="0">
        <left/>
        <right/>
        <top/>
        <bottom/>
        <vertical/>
        <horizontal/>
      </border>
    </dxf>
  </dxfs>
  <tableStyles count="1" defaultTableStyle="TableStyleMedium2" defaultPivotStyle="PivotStyleLight16">
    <tableStyle name="Slicer " pivot="0" table="0" count="10" xr9:uid="{A227154A-591C-4389-A7D6-FF966C93B991}">
      <tableStyleElement type="wholeTable" dxfId="21"/>
      <tableStyleElement type="headerRow" dxfId="20"/>
    </tableStyle>
  </tableStyles>
  <colors>
    <mruColors>
      <color rgb="FF02403D"/>
      <color rgb="FF134E4C"/>
      <color rgb="FF059992"/>
      <color rgb="FF047E78"/>
      <color rgb="FFF0F0F0"/>
      <color rgb="FFE6E6E6"/>
      <color rgb="FFFFFFFF"/>
      <color rgb="FFD9D9D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5999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5999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0"/>
            <color rgb="FF02403D"/>
            <name val="Arial"/>
            <family val="2"/>
            <scheme val="none"/>
          </font>
          <fill>
            <patternFill patternType="solid">
              <fgColor theme="4" tint="0.59999389629810485"/>
              <bgColor rgb="FFFFFFF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2" tint="-0.499984740745262"/>
            <name val="Arial"/>
            <family val="2"/>
            <scheme val="none"/>
          </font>
          <fill>
            <patternFill patternType="solid">
              <fgColor rgb="FFFFFFFF"/>
              <bgColor rgb="FFE6E6E6"/>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 OjoDavidShola.xlsx]Calculations!Tenure Order</c:name>
    <c:fmtId val="11"/>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2403D"/>
          </a:solidFill>
          <a:ln w="19050">
            <a:noFill/>
          </a:ln>
          <a:effectLst/>
        </c:spPr>
      </c:pivotFmt>
      <c:pivotFmt>
        <c:idx val="8"/>
        <c:spPr>
          <a:solidFill>
            <a:srgbClr val="02403D">
              <a:alpha val="80000"/>
            </a:srgbClr>
          </a:solidFill>
          <a:ln w="19050">
            <a:noFill/>
          </a:ln>
          <a:effectLst/>
        </c:spPr>
      </c:pivotFmt>
      <c:pivotFmt>
        <c:idx val="9"/>
        <c:spPr>
          <a:solidFill>
            <a:srgbClr val="02403D">
              <a:alpha val="60000"/>
            </a:srgbClr>
          </a:solidFill>
          <a:ln w="19050">
            <a:noFill/>
          </a:ln>
          <a:effectLst/>
        </c:spPr>
      </c:pivotFmt>
      <c:pivotFmt>
        <c:idx val="10"/>
        <c:spPr>
          <a:solidFill>
            <a:schemeClr val="bg1">
              <a:lumMod val="75000"/>
            </a:schemeClr>
          </a:solidFill>
          <a:ln w="19050">
            <a:noFill/>
          </a:ln>
          <a:effectLst/>
        </c:spPr>
      </c:pivotFmt>
    </c:pivotFmts>
    <c:plotArea>
      <c:layout>
        <c:manualLayout>
          <c:layoutTarget val="inner"/>
          <c:xMode val="edge"/>
          <c:yMode val="edge"/>
          <c:x val="0.15741803064896018"/>
          <c:y val="8.9363561288242577E-2"/>
          <c:w val="0.42121962638439187"/>
          <c:h val="0.82127287742351485"/>
        </c:manualLayout>
      </c:layout>
      <c:doughnutChart>
        <c:varyColors val="1"/>
        <c:ser>
          <c:idx val="0"/>
          <c:order val="0"/>
          <c:tx>
            <c:strRef>
              <c:f>Calculations!$I$31</c:f>
              <c:strCache>
                <c:ptCount val="1"/>
                <c:pt idx="0">
                  <c:v>Total</c:v>
                </c:pt>
              </c:strCache>
            </c:strRef>
          </c:tx>
          <c:spPr>
            <a:ln>
              <a:noFill/>
            </a:ln>
          </c:spPr>
          <c:dPt>
            <c:idx val="0"/>
            <c:bubble3D val="0"/>
            <c:spPr>
              <a:solidFill>
                <a:srgbClr val="02403D"/>
              </a:solidFill>
              <a:ln w="19050">
                <a:noFill/>
              </a:ln>
              <a:effectLst/>
            </c:spPr>
            <c:extLst>
              <c:ext xmlns:c16="http://schemas.microsoft.com/office/drawing/2014/chart" uri="{C3380CC4-5D6E-409C-BE32-E72D297353CC}">
                <c16:uniqueId val="{00000001-E066-42A2-A989-F6A6510471DA}"/>
              </c:ext>
            </c:extLst>
          </c:dPt>
          <c:dPt>
            <c:idx val="1"/>
            <c:bubble3D val="0"/>
            <c:spPr>
              <a:solidFill>
                <a:srgbClr val="02403D">
                  <a:alpha val="80000"/>
                </a:srgbClr>
              </a:solidFill>
              <a:ln w="19050">
                <a:noFill/>
              </a:ln>
              <a:effectLst/>
            </c:spPr>
            <c:extLst>
              <c:ext xmlns:c16="http://schemas.microsoft.com/office/drawing/2014/chart" uri="{C3380CC4-5D6E-409C-BE32-E72D297353CC}">
                <c16:uniqueId val="{00000003-E066-42A2-A989-F6A6510471DA}"/>
              </c:ext>
            </c:extLst>
          </c:dPt>
          <c:dPt>
            <c:idx val="2"/>
            <c:bubble3D val="0"/>
            <c:spPr>
              <a:solidFill>
                <a:srgbClr val="02403D">
                  <a:alpha val="60000"/>
                </a:srgbClr>
              </a:solidFill>
              <a:ln w="19050">
                <a:noFill/>
              </a:ln>
              <a:effectLst/>
            </c:spPr>
            <c:extLst>
              <c:ext xmlns:c16="http://schemas.microsoft.com/office/drawing/2014/chart" uri="{C3380CC4-5D6E-409C-BE32-E72D297353CC}">
                <c16:uniqueId val="{00000005-E066-42A2-A989-F6A6510471DA}"/>
              </c:ext>
            </c:extLst>
          </c:dPt>
          <c:dPt>
            <c:idx val="3"/>
            <c:bubble3D val="0"/>
            <c:spPr>
              <a:solidFill>
                <a:schemeClr val="bg1">
                  <a:lumMod val="75000"/>
                </a:schemeClr>
              </a:solidFill>
              <a:ln w="19050">
                <a:noFill/>
              </a:ln>
              <a:effectLst/>
            </c:spPr>
            <c:extLst>
              <c:ext xmlns:c16="http://schemas.microsoft.com/office/drawing/2014/chart" uri="{C3380CC4-5D6E-409C-BE32-E72D297353CC}">
                <c16:uniqueId val="{00000007-E066-42A2-A989-F6A6510471DA}"/>
              </c:ext>
            </c:extLst>
          </c:dPt>
          <c:cat>
            <c:strRef>
              <c:f>Calculations!$H$32:$H$35</c:f>
              <c:strCache>
                <c:ptCount val="4"/>
                <c:pt idx="0">
                  <c:v>Loyal</c:v>
                </c:pt>
                <c:pt idx="1">
                  <c:v>Legacy</c:v>
                </c:pt>
                <c:pt idx="2">
                  <c:v>Emerging</c:v>
                </c:pt>
                <c:pt idx="3">
                  <c:v>New</c:v>
                </c:pt>
              </c:strCache>
            </c:strRef>
          </c:cat>
          <c:val>
            <c:numRef>
              <c:f>Calculations!$I$32:$I$35</c:f>
              <c:numCache>
                <c:formatCode>0%</c:formatCode>
                <c:ptCount val="4"/>
                <c:pt idx="0">
                  <c:v>0.40200000000000002</c:v>
                </c:pt>
                <c:pt idx="1">
                  <c:v>0.28799999999999998</c:v>
                </c:pt>
                <c:pt idx="2">
                  <c:v>0.20399999999999999</c:v>
                </c:pt>
                <c:pt idx="3">
                  <c:v>0.106</c:v>
                </c:pt>
              </c:numCache>
            </c:numRef>
          </c:val>
          <c:extLst>
            <c:ext xmlns:c16="http://schemas.microsoft.com/office/drawing/2014/chart" uri="{C3380CC4-5D6E-409C-BE32-E72D297353CC}">
              <c16:uniqueId val="{00000008-E066-42A2-A989-F6A6510471DA}"/>
            </c:ext>
          </c:extLst>
        </c:ser>
        <c:dLbls>
          <c:showLegendKey val="0"/>
          <c:showVal val="0"/>
          <c:showCatName val="0"/>
          <c:showSerName val="0"/>
          <c:showPercent val="0"/>
          <c:showBubbleSize val="0"/>
          <c:showLeaderLines val="1"/>
        </c:dLbls>
        <c:firstSliceAng val="0"/>
        <c:holeSize val="85"/>
      </c:doughnutChart>
      <c:spPr>
        <a:noFill/>
        <a:ln>
          <a:noFill/>
        </a:ln>
        <a:effectLst/>
      </c:spPr>
    </c:plotArea>
    <c:legend>
      <c:legendPos val="r"/>
      <c:layout>
        <c:manualLayout>
          <c:xMode val="edge"/>
          <c:yMode val="edge"/>
          <c:x val="0.7333390699823189"/>
          <c:y val="0.29173793814992804"/>
          <c:w val="0.24575893889728967"/>
          <c:h val="0.655424380693580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 OjoDavidShola.xlsx]Calculations!Age Group</c:name>
    <c:fmtId val="3"/>
  </c:pivotSource>
  <c:chart>
    <c:autoTitleDeleted val="0"/>
    <c:pivotFmts>
      <c:pivotFmt>
        <c:idx val="0"/>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302576860870848E-2"/>
          <c:y val="0.28425305531953227"/>
          <c:w val="0.89712399550493194"/>
          <c:h val="0.52233042983461653"/>
        </c:manualLayout>
      </c:layout>
      <c:barChart>
        <c:barDir val="col"/>
        <c:grouping val="clustered"/>
        <c:varyColors val="0"/>
        <c:ser>
          <c:idx val="0"/>
          <c:order val="0"/>
          <c:tx>
            <c:strRef>
              <c:f>Calculations!$C$8:$C$9</c:f>
              <c:strCache>
                <c:ptCount val="1"/>
                <c:pt idx="0">
                  <c:v>Female</c:v>
                </c:pt>
              </c:strCache>
            </c:strRef>
          </c:tx>
          <c:spPr>
            <a:solidFill>
              <a:srgbClr val="02403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Calculations!$B$10:$B$13</c:f>
              <c:strCache>
                <c:ptCount val="4"/>
                <c:pt idx="0">
                  <c:v>Gen Z</c:v>
                </c:pt>
                <c:pt idx="1">
                  <c:v>Millenials</c:v>
                </c:pt>
                <c:pt idx="2">
                  <c:v>Gen X</c:v>
                </c:pt>
                <c:pt idx="3">
                  <c:v>Boomers</c:v>
                </c:pt>
              </c:strCache>
            </c:strRef>
          </c:cat>
          <c:val>
            <c:numRef>
              <c:f>Calculations!$C$10:$C$13</c:f>
              <c:numCache>
                <c:formatCode>General</c:formatCode>
                <c:ptCount val="4"/>
                <c:pt idx="0">
                  <c:v>39</c:v>
                </c:pt>
                <c:pt idx="1">
                  <c:v>71</c:v>
                </c:pt>
                <c:pt idx="2">
                  <c:v>70</c:v>
                </c:pt>
                <c:pt idx="3">
                  <c:v>76</c:v>
                </c:pt>
              </c:numCache>
            </c:numRef>
          </c:val>
          <c:extLst>
            <c:ext xmlns:c16="http://schemas.microsoft.com/office/drawing/2014/chart" uri="{C3380CC4-5D6E-409C-BE32-E72D297353CC}">
              <c16:uniqueId val="{00000000-C62D-4968-B266-C1F748A7ACBB}"/>
            </c:ext>
          </c:extLst>
        </c:ser>
        <c:ser>
          <c:idx val="1"/>
          <c:order val="1"/>
          <c:tx>
            <c:strRef>
              <c:f>Calculations!$D$8:$D$9</c:f>
              <c:strCache>
                <c:ptCount val="1"/>
                <c:pt idx="0">
                  <c:v>Male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Calculations!$B$10:$B$13</c:f>
              <c:strCache>
                <c:ptCount val="4"/>
                <c:pt idx="0">
                  <c:v>Gen Z</c:v>
                </c:pt>
                <c:pt idx="1">
                  <c:v>Millenials</c:v>
                </c:pt>
                <c:pt idx="2">
                  <c:v>Gen X</c:v>
                </c:pt>
                <c:pt idx="3">
                  <c:v>Boomers</c:v>
                </c:pt>
              </c:strCache>
            </c:strRef>
          </c:cat>
          <c:val>
            <c:numRef>
              <c:f>Calculations!$D$10:$D$13</c:f>
              <c:numCache>
                <c:formatCode>General</c:formatCode>
                <c:ptCount val="4"/>
                <c:pt idx="0">
                  <c:v>47</c:v>
                </c:pt>
                <c:pt idx="1">
                  <c:v>76</c:v>
                </c:pt>
                <c:pt idx="2">
                  <c:v>71</c:v>
                </c:pt>
                <c:pt idx="3">
                  <c:v>50</c:v>
                </c:pt>
              </c:numCache>
            </c:numRef>
          </c:val>
          <c:extLst>
            <c:ext xmlns:c16="http://schemas.microsoft.com/office/drawing/2014/chart" uri="{C3380CC4-5D6E-409C-BE32-E72D297353CC}">
              <c16:uniqueId val="{00000001-C62D-4968-B266-C1F748A7ACBB}"/>
            </c:ext>
          </c:extLst>
        </c:ser>
        <c:dLbls>
          <c:showLegendKey val="0"/>
          <c:showVal val="0"/>
          <c:showCatName val="0"/>
          <c:showSerName val="0"/>
          <c:showPercent val="0"/>
          <c:showBubbleSize val="0"/>
        </c:dLbls>
        <c:gapWidth val="250"/>
        <c:overlap val="17"/>
        <c:axId val="935197616"/>
        <c:axId val="935198576"/>
      </c:barChart>
      <c:catAx>
        <c:axId val="9351976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35198576"/>
        <c:crosses val="autoZero"/>
        <c:auto val="1"/>
        <c:lblAlgn val="ctr"/>
        <c:lblOffset val="100"/>
        <c:noMultiLvlLbl val="0"/>
      </c:catAx>
      <c:valAx>
        <c:axId val="935198576"/>
        <c:scaling>
          <c:orientation val="minMax"/>
        </c:scaling>
        <c:delete val="1"/>
        <c:axPos val="l"/>
        <c:numFmt formatCode="General" sourceLinked="1"/>
        <c:majorTickMark val="none"/>
        <c:minorTickMark val="none"/>
        <c:tickLblPos val="nextTo"/>
        <c:crossAx val="935197616"/>
        <c:crosses val="autoZero"/>
        <c:crossBetween val="between"/>
      </c:valAx>
      <c:spPr>
        <a:noFill/>
        <a:ln>
          <a:noFill/>
        </a:ln>
        <a:effectLst/>
      </c:spPr>
    </c:plotArea>
    <c:legend>
      <c:legendPos val="r"/>
      <c:layout>
        <c:manualLayout>
          <c:xMode val="edge"/>
          <c:yMode val="edge"/>
          <c:x val="0.65430556509383331"/>
          <c:y val="4.2176618917029217E-3"/>
          <c:w val="0.30324319002417011"/>
          <c:h val="0.209094748821454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 OjoDavidShola.xlsx]Calculations!Income Bracket</c:name>
    <c:fmtId val="4"/>
  </c:pivotSource>
  <c:chart>
    <c:autoTitleDeleted val="0"/>
    <c:pivotFmts>
      <c:pivotFmt>
        <c:idx val="0"/>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403D"/>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2087447454562"/>
          <c:y val="0.10664300368939961"/>
          <c:w val="0.75976267979815237"/>
          <c:h val="0.87502199884348941"/>
        </c:manualLayout>
      </c:layout>
      <c:barChart>
        <c:barDir val="bar"/>
        <c:grouping val="clustered"/>
        <c:varyColors val="0"/>
        <c:ser>
          <c:idx val="0"/>
          <c:order val="0"/>
          <c:tx>
            <c:strRef>
              <c:f>Calculations!$I$8:$I$9</c:f>
              <c:strCache>
                <c:ptCount val="1"/>
                <c:pt idx="0">
                  <c:v>Female</c:v>
                </c:pt>
              </c:strCache>
            </c:strRef>
          </c:tx>
          <c:spPr>
            <a:solidFill>
              <a:srgbClr val="02403D"/>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Calculations!$H$10:$H$12</c:f>
              <c:strCache>
                <c:ptCount val="3"/>
                <c:pt idx="0">
                  <c:v>Medium</c:v>
                </c:pt>
                <c:pt idx="1">
                  <c:v>High</c:v>
                </c:pt>
                <c:pt idx="2">
                  <c:v>Low</c:v>
                </c:pt>
              </c:strCache>
            </c:strRef>
          </c:cat>
          <c:val>
            <c:numRef>
              <c:f>Calculations!$I$10:$I$12</c:f>
              <c:numCache>
                <c:formatCode>General</c:formatCode>
                <c:ptCount val="3"/>
                <c:pt idx="0">
                  <c:v>67</c:v>
                </c:pt>
                <c:pt idx="1">
                  <c:v>81</c:v>
                </c:pt>
                <c:pt idx="2">
                  <c:v>108</c:v>
                </c:pt>
              </c:numCache>
            </c:numRef>
          </c:val>
          <c:extLst>
            <c:ext xmlns:c16="http://schemas.microsoft.com/office/drawing/2014/chart" uri="{C3380CC4-5D6E-409C-BE32-E72D297353CC}">
              <c16:uniqueId val="{00000000-411A-4FAC-88DC-2947A82D9562}"/>
            </c:ext>
          </c:extLst>
        </c:ser>
        <c:ser>
          <c:idx val="1"/>
          <c:order val="1"/>
          <c:tx>
            <c:strRef>
              <c:f>Calculations!$J$8:$J$9</c:f>
              <c:strCache>
                <c:ptCount val="1"/>
                <c:pt idx="0">
                  <c:v>Male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Calculations!$H$10:$H$12</c:f>
              <c:strCache>
                <c:ptCount val="3"/>
                <c:pt idx="0">
                  <c:v>Medium</c:v>
                </c:pt>
                <c:pt idx="1">
                  <c:v>High</c:v>
                </c:pt>
                <c:pt idx="2">
                  <c:v>Low</c:v>
                </c:pt>
              </c:strCache>
            </c:strRef>
          </c:cat>
          <c:val>
            <c:numRef>
              <c:f>Calculations!$J$10:$J$12</c:f>
              <c:numCache>
                <c:formatCode>General</c:formatCode>
                <c:ptCount val="3"/>
                <c:pt idx="0">
                  <c:v>69</c:v>
                </c:pt>
                <c:pt idx="1">
                  <c:v>72</c:v>
                </c:pt>
                <c:pt idx="2">
                  <c:v>103</c:v>
                </c:pt>
              </c:numCache>
            </c:numRef>
          </c:val>
          <c:extLst>
            <c:ext xmlns:c16="http://schemas.microsoft.com/office/drawing/2014/chart" uri="{C3380CC4-5D6E-409C-BE32-E72D297353CC}">
              <c16:uniqueId val="{00000001-411A-4FAC-88DC-2947A82D9562}"/>
            </c:ext>
          </c:extLst>
        </c:ser>
        <c:dLbls>
          <c:showLegendKey val="0"/>
          <c:showVal val="0"/>
          <c:showCatName val="0"/>
          <c:showSerName val="0"/>
          <c:showPercent val="0"/>
          <c:showBubbleSize val="0"/>
        </c:dLbls>
        <c:gapWidth val="120"/>
        <c:overlap val="17"/>
        <c:axId val="751775072"/>
        <c:axId val="751776992"/>
      </c:barChart>
      <c:catAx>
        <c:axId val="7517750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51776992"/>
        <c:crosses val="autoZero"/>
        <c:auto val="1"/>
        <c:lblAlgn val="ctr"/>
        <c:lblOffset val="100"/>
        <c:noMultiLvlLbl val="0"/>
      </c:catAx>
      <c:valAx>
        <c:axId val="751776992"/>
        <c:scaling>
          <c:orientation val="minMax"/>
        </c:scaling>
        <c:delete val="1"/>
        <c:axPos val="b"/>
        <c:numFmt formatCode="General" sourceLinked="1"/>
        <c:majorTickMark val="none"/>
        <c:minorTickMark val="none"/>
        <c:tickLblPos val="nextTo"/>
        <c:crossAx val="751775072"/>
        <c:crosses val="autoZero"/>
        <c:crossBetween val="between"/>
      </c:valAx>
      <c:spPr>
        <a:noFill/>
        <a:ln>
          <a:noFill/>
        </a:ln>
        <a:effectLst/>
      </c:spPr>
    </c:plotArea>
    <c:legend>
      <c:legendPos val="r"/>
      <c:layout>
        <c:manualLayout>
          <c:xMode val="edge"/>
          <c:yMode val="edge"/>
          <c:x val="0.66538055404905483"/>
          <c:y val="3.0603560845536464E-3"/>
          <c:w val="0.33256292284282069"/>
          <c:h val="0.197245197008161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 OjoDavidShola.xlsx]Calculations!Customers Growth</c:name>
    <c:fmtId val="3"/>
  </c:pivotSource>
  <c:chart>
    <c:autoTitleDeleted val="1"/>
    <c:pivotFmts>
      <c:pivotFmt>
        <c:idx val="0"/>
        <c:spPr>
          <a:solidFill>
            <a:schemeClr val="accent1"/>
          </a:solidFill>
          <a:ln w="22225" cap="rnd">
            <a:solidFill>
              <a:srgbClr val="134E4C"/>
            </a:solidFill>
            <a:prstDash val="sysDot"/>
            <a:round/>
            <a:headEnd type="oval"/>
            <a:tailEnd type="oval"/>
          </a:ln>
          <a:effectLst/>
        </c:spPr>
        <c:marker>
          <c:symbol val="circle"/>
          <c:size val="7"/>
          <c:spPr>
            <a:solidFill>
              <a:schemeClr val="bg1">
                <a:lumMod val="8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134E4C"/>
            </a:solidFill>
            <a:prstDash val="sysDot"/>
            <a:round/>
            <a:headEnd type="oval"/>
            <a:tailEnd type="oval"/>
          </a:ln>
          <a:effectLst/>
        </c:spPr>
        <c:marker>
          <c:symbol val="circle"/>
          <c:size val="7"/>
          <c:spPr>
            <a:solidFill>
              <a:schemeClr val="bg1">
                <a:lumMod val="85000"/>
              </a:schemeClr>
            </a:solidFill>
            <a:ln w="9525">
              <a:noFill/>
            </a:ln>
            <a:effectLst/>
          </c:spPr>
        </c:marker>
      </c:pivotFmt>
      <c:pivotFmt>
        <c:idx val="2"/>
        <c:spPr>
          <a:solidFill>
            <a:schemeClr val="accent1"/>
          </a:solidFill>
          <a:ln w="22225" cap="rnd">
            <a:solidFill>
              <a:srgbClr val="134E4C"/>
            </a:solidFill>
            <a:prstDash val="sysDot"/>
            <a:round/>
            <a:headEnd type="oval"/>
            <a:tailEnd type="oval"/>
          </a:ln>
          <a:effectLst/>
        </c:spPr>
        <c:marker>
          <c:symbol val="circle"/>
          <c:size val="7"/>
          <c:spPr>
            <a:solidFill>
              <a:schemeClr val="bg1">
                <a:lumMod val="8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rgbClr val="134E4C"/>
            </a:solidFill>
            <a:prstDash val="solid"/>
            <a:round/>
            <a:headEnd type="oval"/>
            <a:tailEnd type="oval"/>
          </a:ln>
          <a:effectLst/>
        </c:spPr>
        <c:marker>
          <c:symbol val="circle"/>
          <c:size val="5"/>
          <c:spPr>
            <a:solidFill>
              <a:schemeClr val="bg1">
                <a:lumMod val="85000"/>
              </a:schemeClr>
            </a:solidFill>
            <a:ln w="15875">
              <a:solidFill>
                <a:srgbClr val="134E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rgbClr val="134E4C"/>
            </a:solidFill>
            <a:prstDash val="solid"/>
            <a:round/>
            <a:headEnd type="oval"/>
            <a:tailEnd type="oval"/>
          </a:ln>
          <a:effectLst/>
        </c:spPr>
        <c:marker>
          <c:symbol val="circle"/>
          <c:size val="5"/>
          <c:spPr>
            <a:solidFill>
              <a:schemeClr val="bg1">
                <a:lumMod val="85000"/>
              </a:schemeClr>
            </a:solidFill>
            <a:ln w="15875">
              <a:solidFill>
                <a:srgbClr val="134E4C"/>
              </a:solidFill>
            </a:ln>
            <a:effectLst/>
          </c:spPr>
        </c:marker>
      </c:pivotFmt>
    </c:pivotFmts>
    <c:plotArea>
      <c:layout/>
      <c:lineChart>
        <c:grouping val="standard"/>
        <c:varyColors val="0"/>
        <c:ser>
          <c:idx val="0"/>
          <c:order val="0"/>
          <c:tx>
            <c:strRef>
              <c:f>Calculations!$I$17</c:f>
              <c:strCache>
                <c:ptCount val="1"/>
                <c:pt idx="0">
                  <c:v>Total</c:v>
                </c:pt>
              </c:strCache>
            </c:strRef>
          </c:tx>
          <c:spPr>
            <a:ln w="22225" cap="rnd">
              <a:solidFill>
                <a:srgbClr val="134E4C"/>
              </a:solidFill>
              <a:prstDash val="solid"/>
              <a:round/>
              <a:headEnd type="oval"/>
              <a:tailEnd type="oval"/>
            </a:ln>
            <a:effectLst/>
          </c:spPr>
          <c:marker>
            <c:symbol val="circle"/>
            <c:size val="5"/>
            <c:spPr>
              <a:solidFill>
                <a:schemeClr val="bg1">
                  <a:lumMod val="85000"/>
                </a:schemeClr>
              </a:solidFill>
              <a:ln w="15875">
                <a:solidFill>
                  <a:srgbClr val="134E4C"/>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Calculations!$H$18:$H$28</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Calculations!$I$18:$I$28</c:f>
              <c:numCache>
                <c:formatCode>General</c:formatCode>
                <c:ptCount val="11"/>
                <c:pt idx="0">
                  <c:v>18</c:v>
                </c:pt>
                <c:pt idx="1">
                  <c:v>42</c:v>
                </c:pt>
                <c:pt idx="2">
                  <c:v>66</c:v>
                </c:pt>
                <c:pt idx="3">
                  <c:v>45</c:v>
                </c:pt>
                <c:pt idx="4">
                  <c:v>59</c:v>
                </c:pt>
                <c:pt idx="5">
                  <c:v>45</c:v>
                </c:pt>
                <c:pt idx="6">
                  <c:v>49</c:v>
                </c:pt>
                <c:pt idx="7">
                  <c:v>52</c:v>
                </c:pt>
                <c:pt idx="8">
                  <c:v>48</c:v>
                </c:pt>
                <c:pt idx="9">
                  <c:v>51</c:v>
                </c:pt>
                <c:pt idx="10">
                  <c:v>25</c:v>
                </c:pt>
              </c:numCache>
            </c:numRef>
          </c:val>
          <c:smooth val="1"/>
          <c:extLst>
            <c:ext xmlns:c16="http://schemas.microsoft.com/office/drawing/2014/chart" uri="{C3380CC4-5D6E-409C-BE32-E72D297353CC}">
              <c16:uniqueId val="{00000000-779C-4D7C-8A7E-AFF42953B76C}"/>
            </c:ext>
          </c:extLst>
        </c:ser>
        <c:dLbls>
          <c:showLegendKey val="0"/>
          <c:showVal val="0"/>
          <c:showCatName val="0"/>
          <c:showSerName val="0"/>
          <c:showPercent val="0"/>
          <c:showBubbleSize val="0"/>
        </c:dLbls>
        <c:marker val="1"/>
        <c:smooth val="0"/>
        <c:axId val="935199536"/>
        <c:axId val="935221136"/>
      </c:lineChart>
      <c:catAx>
        <c:axId val="9351995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35221136"/>
        <c:crosses val="autoZero"/>
        <c:auto val="1"/>
        <c:lblAlgn val="ctr"/>
        <c:lblOffset val="100"/>
        <c:noMultiLvlLbl val="0"/>
      </c:catAx>
      <c:valAx>
        <c:axId val="935221136"/>
        <c:scaling>
          <c:orientation val="minMax"/>
        </c:scaling>
        <c:delete val="1"/>
        <c:axPos val="l"/>
        <c:numFmt formatCode="General" sourceLinked="1"/>
        <c:majorTickMark val="none"/>
        <c:minorTickMark val="none"/>
        <c:tickLblPos val="nextTo"/>
        <c:crossAx val="935199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 OjoDavidShola.xlsx]Calculations!Occupation</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8024764097581E-2"/>
          <c:y val="0.15909923661393327"/>
          <c:w val="0.96078532936073024"/>
          <c:h val="0.68836207127677262"/>
        </c:manualLayout>
      </c:layout>
      <c:barChart>
        <c:barDir val="col"/>
        <c:grouping val="clustered"/>
        <c:varyColors val="0"/>
        <c:ser>
          <c:idx val="0"/>
          <c:order val="0"/>
          <c:tx>
            <c:strRef>
              <c:f>Calculations!$C$26:$C$27</c:f>
              <c:strCache>
                <c:ptCount val="1"/>
                <c:pt idx="0">
                  <c:v>Female</c:v>
                </c:pt>
              </c:strCache>
            </c:strRef>
          </c:tx>
          <c:spPr>
            <a:solidFill>
              <a:srgbClr val="134E4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Calculations!$B$28:$B$34</c:f>
              <c:strCache>
                <c:ptCount val="7"/>
                <c:pt idx="0">
                  <c:v>Banker</c:v>
                </c:pt>
                <c:pt idx="1">
                  <c:v>Doctor</c:v>
                </c:pt>
                <c:pt idx="2">
                  <c:v>Engineer</c:v>
                </c:pt>
                <c:pt idx="3">
                  <c:v>Retired</c:v>
                </c:pt>
                <c:pt idx="4">
                  <c:v>Student</c:v>
                </c:pt>
                <c:pt idx="5">
                  <c:v>Teacher</c:v>
                </c:pt>
                <c:pt idx="6">
                  <c:v>Trader</c:v>
                </c:pt>
              </c:strCache>
            </c:strRef>
          </c:cat>
          <c:val>
            <c:numRef>
              <c:f>Calculations!$C$28:$C$34</c:f>
              <c:numCache>
                <c:formatCode>General</c:formatCode>
                <c:ptCount val="7"/>
                <c:pt idx="0">
                  <c:v>36</c:v>
                </c:pt>
                <c:pt idx="1">
                  <c:v>44</c:v>
                </c:pt>
                <c:pt idx="2">
                  <c:v>34</c:v>
                </c:pt>
                <c:pt idx="3">
                  <c:v>34</c:v>
                </c:pt>
                <c:pt idx="4">
                  <c:v>36</c:v>
                </c:pt>
                <c:pt idx="5">
                  <c:v>43</c:v>
                </c:pt>
                <c:pt idx="6">
                  <c:v>29</c:v>
                </c:pt>
              </c:numCache>
            </c:numRef>
          </c:val>
          <c:extLst>
            <c:ext xmlns:c16="http://schemas.microsoft.com/office/drawing/2014/chart" uri="{C3380CC4-5D6E-409C-BE32-E72D297353CC}">
              <c16:uniqueId val="{00000000-EB59-4AB0-951A-DDCBE1D77D01}"/>
            </c:ext>
          </c:extLst>
        </c:ser>
        <c:ser>
          <c:idx val="1"/>
          <c:order val="1"/>
          <c:tx>
            <c:strRef>
              <c:f>Calculations!$D$26:$D$27</c:f>
              <c:strCache>
                <c:ptCount val="1"/>
                <c:pt idx="0">
                  <c:v>Male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Calculations!$B$28:$B$34</c:f>
              <c:strCache>
                <c:ptCount val="7"/>
                <c:pt idx="0">
                  <c:v>Banker</c:v>
                </c:pt>
                <c:pt idx="1">
                  <c:v>Doctor</c:v>
                </c:pt>
                <c:pt idx="2">
                  <c:v>Engineer</c:v>
                </c:pt>
                <c:pt idx="3">
                  <c:v>Retired</c:v>
                </c:pt>
                <c:pt idx="4">
                  <c:v>Student</c:v>
                </c:pt>
                <c:pt idx="5">
                  <c:v>Teacher</c:v>
                </c:pt>
                <c:pt idx="6">
                  <c:v>Trader</c:v>
                </c:pt>
              </c:strCache>
            </c:strRef>
          </c:cat>
          <c:val>
            <c:numRef>
              <c:f>Calculations!$D$28:$D$34</c:f>
              <c:numCache>
                <c:formatCode>General</c:formatCode>
                <c:ptCount val="7"/>
                <c:pt idx="0">
                  <c:v>34</c:v>
                </c:pt>
                <c:pt idx="1">
                  <c:v>28</c:v>
                </c:pt>
                <c:pt idx="2">
                  <c:v>44</c:v>
                </c:pt>
                <c:pt idx="3">
                  <c:v>41</c:v>
                </c:pt>
                <c:pt idx="4">
                  <c:v>33</c:v>
                </c:pt>
                <c:pt idx="5">
                  <c:v>34</c:v>
                </c:pt>
                <c:pt idx="6">
                  <c:v>30</c:v>
                </c:pt>
              </c:numCache>
            </c:numRef>
          </c:val>
          <c:extLst>
            <c:ext xmlns:c16="http://schemas.microsoft.com/office/drawing/2014/chart" uri="{C3380CC4-5D6E-409C-BE32-E72D297353CC}">
              <c16:uniqueId val="{00000001-EB59-4AB0-951A-DDCBE1D77D01}"/>
            </c:ext>
          </c:extLst>
        </c:ser>
        <c:dLbls>
          <c:showLegendKey val="0"/>
          <c:showVal val="0"/>
          <c:showCatName val="0"/>
          <c:showSerName val="0"/>
          <c:showPercent val="0"/>
          <c:showBubbleSize val="0"/>
        </c:dLbls>
        <c:gapWidth val="150"/>
        <c:overlap val="10"/>
        <c:axId val="751785152"/>
        <c:axId val="751773632"/>
      </c:barChart>
      <c:catAx>
        <c:axId val="7517851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51773632"/>
        <c:crosses val="autoZero"/>
        <c:auto val="1"/>
        <c:lblAlgn val="ctr"/>
        <c:lblOffset val="100"/>
        <c:noMultiLvlLbl val="0"/>
      </c:catAx>
      <c:valAx>
        <c:axId val="751773632"/>
        <c:scaling>
          <c:orientation val="minMax"/>
        </c:scaling>
        <c:delete val="1"/>
        <c:axPos val="l"/>
        <c:numFmt formatCode="General" sourceLinked="1"/>
        <c:majorTickMark val="none"/>
        <c:minorTickMark val="none"/>
        <c:tickLblPos val="nextTo"/>
        <c:crossAx val="751785152"/>
        <c:crosses val="autoZero"/>
        <c:crossBetween val="between"/>
      </c:valAx>
      <c:spPr>
        <a:noFill/>
        <a:ln>
          <a:noFill/>
        </a:ln>
        <a:effectLst/>
      </c:spPr>
    </c:plotArea>
    <c:legend>
      <c:legendPos val="r"/>
      <c:layout>
        <c:manualLayout>
          <c:xMode val="edge"/>
          <c:yMode val="edge"/>
          <c:x val="0.77617607174103243"/>
          <c:y val="1.5828928667638943E-2"/>
          <c:w val="0.20740425794423525"/>
          <c:h val="0.1314144293768019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 OjoDavidShola.xlsx]Calculations!Tenure Order</c:name>
    <c:fmtId val="14"/>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2403D"/>
          </a:solidFill>
          <a:ln w="19050">
            <a:noFill/>
          </a:ln>
          <a:effectLst/>
        </c:spPr>
      </c:pivotFmt>
      <c:pivotFmt>
        <c:idx val="8"/>
        <c:spPr>
          <a:solidFill>
            <a:srgbClr val="02403D">
              <a:alpha val="80000"/>
            </a:srgbClr>
          </a:solidFill>
          <a:ln w="19050">
            <a:noFill/>
          </a:ln>
          <a:effectLst/>
        </c:spPr>
      </c:pivotFmt>
      <c:pivotFmt>
        <c:idx val="9"/>
        <c:spPr>
          <a:solidFill>
            <a:srgbClr val="02403D">
              <a:alpha val="60000"/>
            </a:srgbClr>
          </a:solidFill>
          <a:ln w="19050">
            <a:noFill/>
          </a:ln>
          <a:effectLst/>
        </c:spPr>
      </c:pivotFmt>
      <c:pivotFmt>
        <c:idx val="10"/>
        <c:spPr>
          <a:solidFill>
            <a:schemeClr val="bg1">
              <a:lumMod val="75000"/>
            </a:schemeClr>
          </a:solidFill>
          <a:ln w="19050">
            <a:noFill/>
          </a:ln>
          <a:effectLst/>
        </c:spPr>
      </c:pivotFmt>
      <c:pivotFmt>
        <c:idx val="1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2403D"/>
          </a:solidFill>
          <a:ln w="19050">
            <a:noFill/>
          </a:ln>
          <a:effectLst/>
        </c:spPr>
      </c:pivotFmt>
      <c:pivotFmt>
        <c:idx val="13"/>
        <c:spPr>
          <a:solidFill>
            <a:srgbClr val="02403D">
              <a:alpha val="80000"/>
            </a:srgbClr>
          </a:solidFill>
          <a:ln w="19050">
            <a:noFill/>
          </a:ln>
          <a:effectLst/>
        </c:spPr>
      </c:pivotFmt>
      <c:pivotFmt>
        <c:idx val="14"/>
        <c:spPr>
          <a:solidFill>
            <a:srgbClr val="02403D">
              <a:alpha val="60000"/>
            </a:srgbClr>
          </a:solidFill>
          <a:ln w="19050">
            <a:noFill/>
          </a:ln>
          <a:effectLst/>
        </c:spPr>
      </c:pivotFmt>
      <c:pivotFmt>
        <c:idx val="15"/>
        <c:spPr>
          <a:solidFill>
            <a:schemeClr val="bg1">
              <a:lumMod val="75000"/>
            </a:schemeClr>
          </a:solidFill>
          <a:ln w="19050">
            <a:noFill/>
          </a:ln>
          <a:effectLst/>
        </c:spPr>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2403D"/>
          </a:solidFill>
          <a:ln w="19050">
            <a:noFill/>
          </a:ln>
          <a:effectLst/>
        </c:spPr>
      </c:pivotFmt>
      <c:pivotFmt>
        <c:idx val="18"/>
        <c:spPr>
          <a:solidFill>
            <a:srgbClr val="02403D">
              <a:alpha val="80000"/>
            </a:srgbClr>
          </a:solidFill>
          <a:ln w="19050">
            <a:noFill/>
          </a:ln>
          <a:effectLst/>
        </c:spPr>
      </c:pivotFmt>
      <c:pivotFmt>
        <c:idx val="19"/>
        <c:spPr>
          <a:solidFill>
            <a:srgbClr val="02403D">
              <a:alpha val="60000"/>
            </a:srgbClr>
          </a:solidFill>
          <a:ln w="19050">
            <a:noFill/>
          </a:ln>
          <a:effectLst/>
        </c:spPr>
      </c:pivotFmt>
      <c:pivotFmt>
        <c:idx val="20"/>
        <c:spPr>
          <a:solidFill>
            <a:schemeClr val="bg1">
              <a:lumMod val="75000"/>
            </a:schemeClr>
          </a:solidFill>
          <a:ln w="19050">
            <a:noFill/>
          </a:ln>
          <a:effectLst/>
        </c:spPr>
      </c:pivotFmt>
    </c:pivotFmts>
    <c:plotArea>
      <c:layout>
        <c:manualLayout>
          <c:layoutTarget val="inner"/>
          <c:xMode val="edge"/>
          <c:yMode val="edge"/>
          <c:x val="0.15741803064896018"/>
          <c:y val="8.9363561288242577E-2"/>
          <c:w val="0.42121962638439187"/>
          <c:h val="0.82127287742351485"/>
        </c:manualLayout>
      </c:layout>
      <c:doughnutChart>
        <c:varyColors val="1"/>
        <c:ser>
          <c:idx val="0"/>
          <c:order val="0"/>
          <c:tx>
            <c:strRef>
              <c:f>Calculations!$I$31</c:f>
              <c:strCache>
                <c:ptCount val="1"/>
                <c:pt idx="0">
                  <c:v>Total</c:v>
                </c:pt>
              </c:strCache>
            </c:strRef>
          </c:tx>
          <c:spPr>
            <a:ln>
              <a:noFill/>
            </a:ln>
          </c:spPr>
          <c:dPt>
            <c:idx val="0"/>
            <c:bubble3D val="0"/>
            <c:spPr>
              <a:solidFill>
                <a:srgbClr val="02403D"/>
              </a:solidFill>
              <a:ln w="19050">
                <a:noFill/>
              </a:ln>
              <a:effectLst/>
            </c:spPr>
            <c:extLst>
              <c:ext xmlns:c16="http://schemas.microsoft.com/office/drawing/2014/chart" uri="{C3380CC4-5D6E-409C-BE32-E72D297353CC}">
                <c16:uniqueId val="{00000001-FAD6-45C4-B9BE-5269DAD72A68}"/>
              </c:ext>
            </c:extLst>
          </c:dPt>
          <c:dPt>
            <c:idx val="1"/>
            <c:bubble3D val="0"/>
            <c:spPr>
              <a:solidFill>
                <a:srgbClr val="02403D">
                  <a:alpha val="80000"/>
                </a:srgbClr>
              </a:solidFill>
              <a:ln w="19050">
                <a:noFill/>
              </a:ln>
              <a:effectLst/>
            </c:spPr>
            <c:extLst>
              <c:ext xmlns:c16="http://schemas.microsoft.com/office/drawing/2014/chart" uri="{C3380CC4-5D6E-409C-BE32-E72D297353CC}">
                <c16:uniqueId val="{00000003-FAD6-45C4-B9BE-5269DAD72A68}"/>
              </c:ext>
            </c:extLst>
          </c:dPt>
          <c:dPt>
            <c:idx val="2"/>
            <c:bubble3D val="0"/>
            <c:spPr>
              <a:solidFill>
                <a:srgbClr val="02403D">
                  <a:alpha val="60000"/>
                </a:srgbClr>
              </a:solidFill>
              <a:ln w="19050">
                <a:noFill/>
              </a:ln>
              <a:effectLst/>
            </c:spPr>
            <c:extLst>
              <c:ext xmlns:c16="http://schemas.microsoft.com/office/drawing/2014/chart" uri="{C3380CC4-5D6E-409C-BE32-E72D297353CC}">
                <c16:uniqueId val="{00000005-FAD6-45C4-B9BE-5269DAD72A68}"/>
              </c:ext>
            </c:extLst>
          </c:dPt>
          <c:dPt>
            <c:idx val="3"/>
            <c:bubble3D val="0"/>
            <c:spPr>
              <a:solidFill>
                <a:schemeClr val="bg1">
                  <a:lumMod val="75000"/>
                </a:schemeClr>
              </a:solidFill>
              <a:ln w="19050">
                <a:noFill/>
              </a:ln>
              <a:effectLst/>
            </c:spPr>
            <c:extLst>
              <c:ext xmlns:c16="http://schemas.microsoft.com/office/drawing/2014/chart" uri="{C3380CC4-5D6E-409C-BE32-E72D297353CC}">
                <c16:uniqueId val="{00000007-FAD6-45C4-B9BE-5269DAD72A68}"/>
              </c:ext>
            </c:extLst>
          </c:dPt>
          <c:cat>
            <c:strRef>
              <c:f>Calculations!$H$32:$H$35</c:f>
              <c:strCache>
                <c:ptCount val="4"/>
                <c:pt idx="0">
                  <c:v>Loyal</c:v>
                </c:pt>
                <c:pt idx="1">
                  <c:v>Legacy</c:v>
                </c:pt>
                <c:pt idx="2">
                  <c:v>Emerging</c:v>
                </c:pt>
                <c:pt idx="3">
                  <c:v>New</c:v>
                </c:pt>
              </c:strCache>
            </c:strRef>
          </c:cat>
          <c:val>
            <c:numRef>
              <c:f>Calculations!$I$32:$I$35</c:f>
              <c:numCache>
                <c:formatCode>0%</c:formatCode>
                <c:ptCount val="4"/>
                <c:pt idx="0">
                  <c:v>0.40200000000000002</c:v>
                </c:pt>
                <c:pt idx="1">
                  <c:v>0.28799999999999998</c:v>
                </c:pt>
                <c:pt idx="2">
                  <c:v>0.20399999999999999</c:v>
                </c:pt>
                <c:pt idx="3">
                  <c:v>0.106</c:v>
                </c:pt>
              </c:numCache>
            </c:numRef>
          </c:val>
          <c:extLst>
            <c:ext xmlns:c16="http://schemas.microsoft.com/office/drawing/2014/chart" uri="{C3380CC4-5D6E-409C-BE32-E72D297353CC}">
              <c16:uniqueId val="{00000008-FAD6-45C4-B9BE-5269DAD72A68}"/>
            </c:ext>
          </c:extLst>
        </c:ser>
        <c:dLbls>
          <c:showLegendKey val="0"/>
          <c:showVal val="0"/>
          <c:showCatName val="0"/>
          <c:showSerName val="0"/>
          <c:showPercent val="0"/>
          <c:showBubbleSize val="0"/>
          <c:showLeaderLines val="1"/>
        </c:dLbls>
        <c:firstSliceAng val="0"/>
        <c:holeSize val="85"/>
      </c:doughnutChart>
      <c:spPr>
        <a:noFill/>
        <a:ln>
          <a:noFill/>
        </a:ln>
        <a:effectLst/>
      </c:spPr>
    </c:plotArea>
    <c:legend>
      <c:legendPos val="r"/>
      <c:layout>
        <c:manualLayout>
          <c:xMode val="edge"/>
          <c:yMode val="edge"/>
          <c:x val="0.7333390699823189"/>
          <c:y val="0.29173793814992804"/>
          <c:w val="0.24575893889728967"/>
          <c:h val="0.655424380693580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 OjoDavidShola.xlsx]Calculations!Age Group</c:name>
    <c:fmtId val="6"/>
  </c:pivotSource>
  <c:chart>
    <c:autoTitleDeleted val="0"/>
    <c:pivotFmts>
      <c:pivotFmt>
        <c:idx val="0"/>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302576860870848E-2"/>
          <c:y val="0.14474425545072253"/>
          <c:w val="0.89712399550493194"/>
          <c:h val="0.66183896412816312"/>
        </c:manualLayout>
      </c:layout>
      <c:barChart>
        <c:barDir val="col"/>
        <c:grouping val="clustered"/>
        <c:varyColors val="0"/>
        <c:ser>
          <c:idx val="0"/>
          <c:order val="0"/>
          <c:tx>
            <c:strRef>
              <c:f>Calculations!$C$8:$C$9</c:f>
              <c:strCache>
                <c:ptCount val="1"/>
                <c:pt idx="0">
                  <c:v>Female</c:v>
                </c:pt>
              </c:strCache>
            </c:strRef>
          </c:tx>
          <c:spPr>
            <a:solidFill>
              <a:srgbClr val="02403D"/>
            </a:solidFill>
            <a:ln>
              <a:noFill/>
            </a:ln>
            <a:effectLst/>
          </c:spPr>
          <c:invertIfNegative val="0"/>
          <c:cat>
            <c:strRef>
              <c:f>Calculations!$B$10:$B$13</c:f>
              <c:strCache>
                <c:ptCount val="4"/>
                <c:pt idx="0">
                  <c:v>Gen Z</c:v>
                </c:pt>
                <c:pt idx="1">
                  <c:v>Millenials</c:v>
                </c:pt>
                <c:pt idx="2">
                  <c:v>Gen X</c:v>
                </c:pt>
                <c:pt idx="3">
                  <c:v>Boomers</c:v>
                </c:pt>
              </c:strCache>
            </c:strRef>
          </c:cat>
          <c:val>
            <c:numRef>
              <c:f>Calculations!$C$10:$C$13</c:f>
              <c:numCache>
                <c:formatCode>General</c:formatCode>
                <c:ptCount val="4"/>
                <c:pt idx="0">
                  <c:v>39</c:v>
                </c:pt>
                <c:pt idx="1">
                  <c:v>71</c:v>
                </c:pt>
                <c:pt idx="2">
                  <c:v>70</c:v>
                </c:pt>
                <c:pt idx="3">
                  <c:v>76</c:v>
                </c:pt>
              </c:numCache>
            </c:numRef>
          </c:val>
          <c:extLst>
            <c:ext xmlns:c16="http://schemas.microsoft.com/office/drawing/2014/chart" uri="{C3380CC4-5D6E-409C-BE32-E72D297353CC}">
              <c16:uniqueId val="{00000000-D923-4A3A-94F6-784A9774301D}"/>
            </c:ext>
          </c:extLst>
        </c:ser>
        <c:ser>
          <c:idx val="1"/>
          <c:order val="1"/>
          <c:tx>
            <c:strRef>
              <c:f>Calculations!$D$8:$D$9</c:f>
              <c:strCache>
                <c:ptCount val="1"/>
                <c:pt idx="0">
                  <c:v>Male</c:v>
                </c:pt>
              </c:strCache>
            </c:strRef>
          </c:tx>
          <c:spPr>
            <a:solidFill>
              <a:schemeClr val="bg1">
                <a:lumMod val="85000"/>
              </a:schemeClr>
            </a:solidFill>
            <a:ln>
              <a:noFill/>
            </a:ln>
            <a:effectLst/>
          </c:spPr>
          <c:invertIfNegative val="0"/>
          <c:cat>
            <c:strRef>
              <c:f>Calculations!$B$10:$B$13</c:f>
              <c:strCache>
                <c:ptCount val="4"/>
                <c:pt idx="0">
                  <c:v>Gen Z</c:v>
                </c:pt>
                <c:pt idx="1">
                  <c:v>Millenials</c:v>
                </c:pt>
                <c:pt idx="2">
                  <c:v>Gen X</c:v>
                </c:pt>
                <c:pt idx="3">
                  <c:v>Boomers</c:v>
                </c:pt>
              </c:strCache>
            </c:strRef>
          </c:cat>
          <c:val>
            <c:numRef>
              <c:f>Calculations!$D$10:$D$13</c:f>
              <c:numCache>
                <c:formatCode>General</c:formatCode>
                <c:ptCount val="4"/>
                <c:pt idx="0">
                  <c:v>47</c:v>
                </c:pt>
                <c:pt idx="1">
                  <c:v>76</c:v>
                </c:pt>
                <c:pt idx="2">
                  <c:v>71</c:v>
                </c:pt>
                <c:pt idx="3">
                  <c:v>50</c:v>
                </c:pt>
              </c:numCache>
            </c:numRef>
          </c:val>
          <c:extLst>
            <c:ext xmlns:c16="http://schemas.microsoft.com/office/drawing/2014/chart" uri="{C3380CC4-5D6E-409C-BE32-E72D297353CC}">
              <c16:uniqueId val="{00000001-D923-4A3A-94F6-784A9774301D}"/>
            </c:ext>
          </c:extLst>
        </c:ser>
        <c:dLbls>
          <c:showLegendKey val="0"/>
          <c:showVal val="0"/>
          <c:showCatName val="0"/>
          <c:showSerName val="0"/>
          <c:showPercent val="0"/>
          <c:showBubbleSize val="0"/>
        </c:dLbls>
        <c:gapWidth val="250"/>
        <c:overlap val="17"/>
        <c:axId val="935197616"/>
        <c:axId val="935198576"/>
      </c:barChart>
      <c:catAx>
        <c:axId val="9351976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35198576"/>
        <c:crosses val="autoZero"/>
        <c:auto val="1"/>
        <c:lblAlgn val="ctr"/>
        <c:lblOffset val="100"/>
        <c:noMultiLvlLbl val="0"/>
      </c:catAx>
      <c:valAx>
        <c:axId val="935198576"/>
        <c:scaling>
          <c:orientation val="minMax"/>
        </c:scaling>
        <c:delete val="1"/>
        <c:axPos val="l"/>
        <c:numFmt formatCode="General" sourceLinked="1"/>
        <c:majorTickMark val="none"/>
        <c:minorTickMark val="none"/>
        <c:tickLblPos val="nextTo"/>
        <c:crossAx val="935197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 OjoDavidShola.xlsx]Calculations!Income Bracket</c:name>
    <c:fmtId val="7"/>
  </c:pivotSource>
  <c:chart>
    <c:autoTitleDeleted val="0"/>
    <c:pivotFmts>
      <c:pivotFmt>
        <c:idx val="0"/>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403D"/>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2403D"/>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2087447454562"/>
          <c:y val="0.10664300368939961"/>
          <c:w val="0.75976267979815237"/>
          <c:h val="0.87502199884348941"/>
        </c:manualLayout>
      </c:layout>
      <c:barChart>
        <c:barDir val="bar"/>
        <c:grouping val="clustered"/>
        <c:varyColors val="0"/>
        <c:ser>
          <c:idx val="0"/>
          <c:order val="0"/>
          <c:tx>
            <c:strRef>
              <c:f>Calculations!$I$8:$I$9</c:f>
              <c:strCache>
                <c:ptCount val="1"/>
                <c:pt idx="0">
                  <c:v>Female</c:v>
                </c:pt>
              </c:strCache>
            </c:strRef>
          </c:tx>
          <c:spPr>
            <a:solidFill>
              <a:srgbClr val="02403D"/>
            </a:solidFill>
            <a:ln>
              <a:noFill/>
            </a:ln>
            <a:effectLst/>
          </c:spPr>
          <c:invertIfNegative val="0"/>
          <c:cat>
            <c:strRef>
              <c:f>Calculations!$H$10:$H$12</c:f>
              <c:strCache>
                <c:ptCount val="3"/>
                <c:pt idx="0">
                  <c:v>Medium</c:v>
                </c:pt>
                <c:pt idx="1">
                  <c:v>High</c:v>
                </c:pt>
                <c:pt idx="2">
                  <c:v>Low</c:v>
                </c:pt>
              </c:strCache>
            </c:strRef>
          </c:cat>
          <c:val>
            <c:numRef>
              <c:f>Calculations!$I$10:$I$12</c:f>
              <c:numCache>
                <c:formatCode>General</c:formatCode>
                <c:ptCount val="3"/>
                <c:pt idx="0">
                  <c:v>67</c:v>
                </c:pt>
                <c:pt idx="1">
                  <c:v>81</c:v>
                </c:pt>
                <c:pt idx="2">
                  <c:v>108</c:v>
                </c:pt>
              </c:numCache>
            </c:numRef>
          </c:val>
          <c:extLst>
            <c:ext xmlns:c16="http://schemas.microsoft.com/office/drawing/2014/chart" uri="{C3380CC4-5D6E-409C-BE32-E72D297353CC}">
              <c16:uniqueId val="{00000000-077A-441C-927D-B0F568F7B677}"/>
            </c:ext>
          </c:extLst>
        </c:ser>
        <c:ser>
          <c:idx val="1"/>
          <c:order val="1"/>
          <c:tx>
            <c:strRef>
              <c:f>Calculations!$J$8:$J$9</c:f>
              <c:strCache>
                <c:ptCount val="1"/>
                <c:pt idx="0">
                  <c:v>Male</c:v>
                </c:pt>
              </c:strCache>
            </c:strRef>
          </c:tx>
          <c:spPr>
            <a:solidFill>
              <a:schemeClr val="bg1">
                <a:lumMod val="85000"/>
              </a:schemeClr>
            </a:solidFill>
            <a:ln>
              <a:noFill/>
            </a:ln>
            <a:effectLst/>
          </c:spPr>
          <c:invertIfNegative val="0"/>
          <c:cat>
            <c:strRef>
              <c:f>Calculations!$H$10:$H$12</c:f>
              <c:strCache>
                <c:ptCount val="3"/>
                <c:pt idx="0">
                  <c:v>Medium</c:v>
                </c:pt>
                <c:pt idx="1">
                  <c:v>High</c:v>
                </c:pt>
                <c:pt idx="2">
                  <c:v>Low</c:v>
                </c:pt>
              </c:strCache>
            </c:strRef>
          </c:cat>
          <c:val>
            <c:numRef>
              <c:f>Calculations!$J$10:$J$12</c:f>
              <c:numCache>
                <c:formatCode>General</c:formatCode>
                <c:ptCount val="3"/>
                <c:pt idx="0">
                  <c:v>69</c:v>
                </c:pt>
                <c:pt idx="1">
                  <c:v>72</c:v>
                </c:pt>
                <c:pt idx="2">
                  <c:v>103</c:v>
                </c:pt>
              </c:numCache>
            </c:numRef>
          </c:val>
          <c:extLst>
            <c:ext xmlns:c16="http://schemas.microsoft.com/office/drawing/2014/chart" uri="{C3380CC4-5D6E-409C-BE32-E72D297353CC}">
              <c16:uniqueId val="{00000001-077A-441C-927D-B0F568F7B677}"/>
            </c:ext>
          </c:extLst>
        </c:ser>
        <c:dLbls>
          <c:showLegendKey val="0"/>
          <c:showVal val="0"/>
          <c:showCatName val="0"/>
          <c:showSerName val="0"/>
          <c:showPercent val="0"/>
          <c:showBubbleSize val="0"/>
        </c:dLbls>
        <c:gapWidth val="120"/>
        <c:overlap val="17"/>
        <c:axId val="751775072"/>
        <c:axId val="751776992"/>
      </c:barChart>
      <c:catAx>
        <c:axId val="7517750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51776992"/>
        <c:crosses val="autoZero"/>
        <c:auto val="1"/>
        <c:lblAlgn val="ctr"/>
        <c:lblOffset val="100"/>
        <c:noMultiLvlLbl val="0"/>
      </c:catAx>
      <c:valAx>
        <c:axId val="751776992"/>
        <c:scaling>
          <c:orientation val="minMax"/>
        </c:scaling>
        <c:delete val="1"/>
        <c:axPos val="b"/>
        <c:numFmt formatCode="General" sourceLinked="1"/>
        <c:majorTickMark val="none"/>
        <c:minorTickMark val="none"/>
        <c:tickLblPos val="nextTo"/>
        <c:crossAx val="751775072"/>
        <c:crosses val="autoZero"/>
        <c:crossBetween val="between"/>
      </c:valAx>
      <c:spPr>
        <a:noFill/>
        <a:ln>
          <a:noFill/>
        </a:ln>
        <a:effectLst/>
      </c:spPr>
    </c:plotArea>
    <c:legend>
      <c:legendPos val="r"/>
      <c:layout>
        <c:manualLayout>
          <c:xMode val="edge"/>
          <c:yMode val="edge"/>
          <c:x val="0.66538055404905483"/>
          <c:y val="3.0603560845536464E-3"/>
          <c:w val="0.33256292284282069"/>
          <c:h val="0.197245197008161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 OjoDavidShola.xlsx]Calculations!Customers Growth</c:name>
    <c:fmtId val="6"/>
  </c:pivotSource>
  <c:chart>
    <c:autoTitleDeleted val="1"/>
    <c:pivotFmts>
      <c:pivotFmt>
        <c:idx val="0"/>
        <c:spPr>
          <a:solidFill>
            <a:schemeClr val="accent1"/>
          </a:solidFill>
          <a:ln w="22225" cap="rnd">
            <a:solidFill>
              <a:srgbClr val="134E4C"/>
            </a:solidFill>
            <a:prstDash val="sysDot"/>
            <a:round/>
            <a:headEnd type="oval"/>
            <a:tailEnd type="oval"/>
          </a:ln>
          <a:effectLst/>
        </c:spPr>
        <c:marker>
          <c:symbol val="circle"/>
          <c:size val="7"/>
          <c:spPr>
            <a:solidFill>
              <a:schemeClr val="bg1">
                <a:lumMod val="8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134E4C"/>
            </a:solidFill>
            <a:prstDash val="sysDot"/>
            <a:round/>
            <a:headEnd type="oval"/>
            <a:tailEnd type="oval"/>
          </a:ln>
          <a:effectLst/>
        </c:spPr>
        <c:marker>
          <c:symbol val="circle"/>
          <c:size val="7"/>
          <c:spPr>
            <a:solidFill>
              <a:schemeClr val="bg1">
                <a:lumMod val="85000"/>
              </a:schemeClr>
            </a:solidFill>
            <a:ln w="9525">
              <a:noFill/>
            </a:ln>
            <a:effectLst/>
          </c:spPr>
        </c:marker>
      </c:pivotFmt>
      <c:pivotFmt>
        <c:idx val="2"/>
        <c:spPr>
          <a:solidFill>
            <a:schemeClr val="accent1"/>
          </a:solidFill>
          <a:ln w="22225" cap="rnd">
            <a:solidFill>
              <a:srgbClr val="134E4C"/>
            </a:solidFill>
            <a:prstDash val="sysDot"/>
            <a:round/>
            <a:headEnd type="oval"/>
            <a:tailEnd type="oval"/>
          </a:ln>
          <a:effectLst/>
        </c:spPr>
        <c:marker>
          <c:symbol val="circle"/>
          <c:size val="7"/>
          <c:spPr>
            <a:solidFill>
              <a:schemeClr val="bg1">
                <a:lumMod val="8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134E4C"/>
            </a:solidFill>
            <a:prstDash val="solid"/>
            <a:round/>
            <a:headEnd type="oval"/>
            <a:tailEnd type="oval"/>
          </a:ln>
          <a:effectLst/>
        </c:spPr>
        <c:marker>
          <c:symbol val="circle"/>
          <c:size val="5"/>
          <c:spPr>
            <a:solidFill>
              <a:schemeClr val="bg1">
                <a:lumMod val="85000"/>
              </a:schemeClr>
            </a:solidFill>
            <a:ln w="15875">
              <a:solidFill>
                <a:srgbClr val="134E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rgbClr val="134E4C"/>
            </a:solidFill>
            <a:prstDash val="solid"/>
            <a:round/>
            <a:headEnd type="oval"/>
            <a:tailEnd type="oval"/>
          </a:ln>
          <a:effectLst/>
        </c:spPr>
        <c:marker>
          <c:symbol val="circle"/>
          <c:size val="5"/>
          <c:spPr>
            <a:solidFill>
              <a:schemeClr val="bg1">
                <a:lumMod val="85000"/>
              </a:schemeClr>
            </a:solidFill>
            <a:ln w="15875">
              <a:solidFill>
                <a:srgbClr val="134E4C"/>
              </a:solidFill>
            </a:ln>
            <a:effectLst/>
          </c:spPr>
        </c:marker>
      </c:pivotFmt>
      <c:pivotFmt>
        <c:idx val="5"/>
        <c:spPr>
          <a:solidFill>
            <a:schemeClr val="accent1"/>
          </a:solidFill>
          <a:ln w="22225" cap="rnd">
            <a:solidFill>
              <a:srgbClr val="134E4C"/>
            </a:solidFill>
            <a:prstDash val="solid"/>
            <a:round/>
            <a:headEnd type="oval"/>
            <a:tailEnd type="oval"/>
          </a:ln>
          <a:effectLst/>
        </c:spPr>
        <c:marker>
          <c:symbol val="circle"/>
          <c:size val="5"/>
          <c:spPr>
            <a:solidFill>
              <a:schemeClr val="bg1">
                <a:lumMod val="85000"/>
              </a:schemeClr>
            </a:solidFill>
            <a:ln w="15875">
              <a:solidFill>
                <a:srgbClr val="134E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rgbClr val="134E4C"/>
            </a:solidFill>
            <a:prstDash val="solid"/>
            <a:round/>
            <a:headEnd type="oval"/>
            <a:tailEnd type="oval"/>
          </a:ln>
          <a:effectLst/>
        </c:spPr>
        <c:marker>
          <c:symbol val="circle"/>
          <c:size val="5"/>
          <c:spPr>
            <a:solidFill>
              <a:schemeClr val="bg1">
                <a:lumMod val="85000"/>
              </a:schemeClr>
            </a:solidFill>
            <a:ln w="15875">
              <a:solidFill>
                <a:srgbClr val="134E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Calculations!$I$17</c:f>
              <c:strCache>
                <c:ptCount val="1"/>
                <c:pt idx="0">
                  <c:v>Total</c:v>
                </c:pt>
              </c:strCache>
            </c:strRef>
          </c:tx>
          <c:spPr>
            <a:ln w="22225" cap="rnd">
              <a:solidFill>
                <a:srgbClr val="134E4C"/>
              </a:solidFill>
              <a:prstDash val="solid"/>
              <a:round/>
              <a:headEnd type="oval"/>
              <a:tailEnd type="oval"/>
            </a:ln>
            <a:effectLst/>
          </c:spPr>
          <c:marker>
            <c:symbol val="circle"/>
            <c:size val="5"/>
            <c:spPr>
              <a:solidFill>
                <a:schemeClr val="bg1">
                  <a:lumMod val="85000"/>
                </a:schemeClr>
              </a:solidFill>
              <a:ln w="15875">
                <a:solidFill>
                  <a:srgbClr val="134E4C"/>
                </a:solidFill>
              </a:ln>
              <a:effectLst/>
            </c:spPr>
          </c:marker>
          <c:cat>
            <c:strRef>
              <c:f>Calculations!$H$18:$H$28</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Calculations!$I$18:$I$28</c:f>
              <c:numCache>
                <c:formatCode>General</c:formatCode>
                <c:ptCount val="11"/>
                <c:pt idx="0">
                  <c:v>18</c:v>
                </c:pt>
                <c:pt idx="1">
                  <c:v>42</c:v>
                </c:pt>
                <c:pt idx="2">
                  <c:v>66</c:v>
                </c:pt>
                <c:pt idx="3">
                  <c:v>45</c:v>
                </c:pt>
                <c:pt idx="4">
                  <c:v>59</c:v>
                </c:pt>
                <c:pt idx="5">
                  <c:v>45</c:v>
                </c:pt>
                <c:pt idx="6">
                  <c:v>49</c:v>
                </c:pt>
                <c:pt idx="7">
                  <c:v>52</c:v>
                </c:pt>
                <c:pt idx="8">
                  <c:v>48</c:v>
                </c:pt>
                <c:pt idx="9">
                  <c:v>51</c:v>
                </c:pt>
                <c:pt idx="10">
                  <c:v>25</c:v>
                </c:pt>
              </c:numCache>
            </c:numRef>
          </c:val>
          <c:smooth val="1"/>
          <c:extLst>
            <c:ext xmlns:c16="http://schemas.microsoft.com/office/drawing/2014/chart" uri="{C3380CC4-5D6E-409C-BE32-E72D297353CC}">
              <c16:uniqueId val="{00000000-CEA9-4433-A790-3A53CBEBDB17}"/>
            </c:ext>
          </c:extLst>
        </c:ser>
        <c:dLbls>
          <c:showLegendKey val="0"/>
          <c:showVal val="0"/>
          <c:showCatName val="0"/>
          <c:showSerName val="0"/>
          <c:showPercent val="0"/>
          <c:showBubbleSize val="0"/>
        </c:dLbls>
        <c:marker val="1"/>
        <c:smooth val="0"/>
        <c:axId val="935199536"/>
        <c:axId val="935221136"/>
      </c:lineChart>
      <c:catAx>
        <c:axId val="9351995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35221136"/>
        <c:crosses val="autoZero"/>
        <c:auto val="1"/>
        <c:lblAlgn val="ctr"/>
        <c:lblOffset val="100"/>
        <c:noMultiLvlLbl val="0"/>
      </c:catAx>
      <c:valAx>
        <c:axId val="935221136"/>
        <c:scaling>
          <c:orientation val="minMax"/>
        </c:scaling>
        <c:delete val="1"/>
        <c:axPos val="l"/>
        <c:numFmt formatCode="General" sourceLinked="1"/>
        <c:majorTickMark val="none"/>
        <c:minorTickMark val="none"/>
        <c:tickLblPos val="nextTo"/>
        <c:crossAx val="935199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 OjoDavidShola.xlsx]Calculations!Occupation</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8024764097581E-2"/>
          <c:y val="6.83006342620818E-2"/>
          <c:w val="0.96078532936073024"/>
          <c:h val="0.77916063067348729"/>
        </c:manualLayout>
      </c:layout>
      <c:barChart>
        <c:barDir val="col"/>
        <c:grouping val="clustered"/>
        <c:varyColors val="0"/>
        <c:ser>
          <c:idx val="0"/>
          <c:order val="0"/>
          <c:tx>
            <c:strRef>
              <c:f>Calculations!$C$26:$C$27</c:f>
              <c:strCache>
                <c:ptCount val="1"/>
                <c:pt idx="0">
                  <c:v>Female</c:v>
                </c:pt>
              </c:strCache>
            </c:strRef>
          </c:tx>
          <c:spPr>
            <a:solidFill>
              <a:srgbClr val="134E4C"/>
            </a:solidFill>
            <a:ln>
              <a:noFill/>
            </a:ln>
            <a:effectLst/>
          </c:spPr>
          <c:invertIfNegative val="0"/>
          <c:cat>
            <c:strRef>
              <c:f>Calculations!$B$28:$B$34</c:f>
              <c:strCache>
                <c:ptCount val="7"/>
                <c:pt idx="0">
                  <c:v>Banker</c:v>
                </c:pt>
                <c:pt idx="1">
                  <c:v>Doctor</c:v>
                </c:pt>
                <c:pt idx="2">
                  <c:v>Engineer</c:v>
                </c:pt>
                <c:pt idx="3">
                  <c:v>Retired</c:v>
                </c:pt>
                <c:pt idx="4">
                  <c:v>Student</c:v>
                </c:pt>
                <c:pt idx="5">
                  <c:v>Teacher</c:v>
                </c:pt>
                <c:pt idx="6">
                  <c:v>Trader</c:v>
                </c:pt>
              </c:strCache>
            </c:strRef>
          </c:cat>
          <c:val>
            <c:numRef>
              <c:f>Calculations!$C$28:$C$34</c:f>
              <c:numCache>
                <c:formatCode>General</c:formatCode>
                <c:ptCount val="7"/>
                <c:pt idx="0">
                  <c:v>36</c:v>
                </c:pt>
                <c:pt idx="1">
                  <c:v>44</c:v>
                </c:pt>
                <c:pt idx="2">
                  <c:v>34</c:v>
                </c:pt>
                <c:pt idx="3">
                  <c:v>34</c:v>
                </c:pt>
                <c:pt idx="4">
                  <c:v>36</c:v>
                </c:pt>
                <c:pt idx="5">
                  <c:v>43</c:v>
                </c:pt>
                <c:pt idx="6">
                  <c:v>29</c:v>
                </c:pt>
              </c:numCache>
            </c:numRef>
          </c:val>
          <c:extLst>
            <c:ext xmlns:c16="http://schemas.microsoft.com/office/drawing/2014/chart" uri="{C3380CC4-5D6E-409C-BE32-E72D297353CC}">
              <c16:uniqueId val="{00000000-C117-4D52-9C0F-3ED497BFB7F0}"/>
            </c:ext>
          </c:extLst>
        </c:ser>
        <c:ser>
          <c:idx val="1"/>
          <c:order val="1"/>
          <c:tx>
            <c:strRef>
              <c:f>Calculations!$D$26:$D$27</c:f>
              <c:strCache>
                <c:ptCount val="1"/>
                <c:pt idx="0">
                  <c:v>Male</c:v>
                </c:pt>
              </c:strCache>
            </c:strRef>
          </c:tx>
          <c:spPr>
            <a:solidFill>
              <a:schemeClr val="bg1">
                <a:lumMod val="85000"/>
              </a:schemeClr>
            </a:solidFill>
            <a:ln>
              <a:noFill/>
            </a:ln>
            <a:effectLst/>
          </c:spPr>
          <c:invertIfNegative val="0"/>
          <c:cat>
            <c:strRef>
              <c:f>Calculations!$B$28:$B$34</c:f>
              <c:strCache>
                <c:ptCount val="7"/>
                <c:pt idx="0">
                  <c:v>Banker</c:v>
                </c:pt>
                <c:pt idx="1">
                  <c:v>Doctor</c:v>
                </c:pt>
                <c:pt idx="2">
                  <c:v>Engineer</c:v>
                </c:pt>
                <c:pt idx="3">
                  <c:v>Retired</c:v>
                </c:pt>
                <c:pt idx="4">
                  <c:v>Student</c:v>
                </c:pt>
                <c:pt idx="5">
                  <c:v>Teacher</c:v>
                </c:pt>
                <c:pt idx="6">
                  <c:v>Trader</c:v>
                </c:pt>
              </c:strCache>
            </c:strRef>
          </c:cat>
          <c:val>
            <c:numRef>
              <c:f>Calculations!$D$28:$D$34</c:f>
              <c:numCache>
                <c:formatCode>General</c:formatCode>
                <c:ptCount val="7"/>
                <c:pt idx="0">
                  <c:v>34</c:v>
                </c:pt>
                <c:pt idx="1">
                  <c:v>28</c:v>
                </c:pt>
                <c:pt idx="2">
                  <c:v>44</c:v>
                </c:pt>
                <c:pt idx="3">
                  <c:v>41</c:v>
                </c:pt>
                <c:pt idx="4">
                  <c:v>33</c:v>
                </c:pt>
                <c:pt idx="5">
                  <c:v>34</c:v>
                </c:pt>
                <c:pt idx="6">
                  <c:v>30</c:v>
                </c:pt>
              </c:numCache>
            </c:numRef>
          </c:val>
          <c:extLst>
            <c:ext xmlns:c16="http://schemas.microsoft.com/office/drawing/2014/chart" uri="{C3380CC4-5D6E-409C-BE32-E72D297353CC}">
              <c16:uniqueId val="{00000001-C117-4D52-9C0F-3ED497BFB7F0}"/>
            </c:ext>
          </c:extLst>
        </c:ser>
        <c:dLbls>
          <c:showLegendKey val="0"/>
          <c:showVal val="0"/>
          <c:showCatName val="0"/>
          <c:showSerName val="0"/>
          <c:showPercent val="0"/>
          <c:showBubbleSize val="0"/>
        </c:dLbls>
        <c:gapWidth val="150"/>
        <c:overlap val="10"/>
        <c:axId val="751785152"/>
        <c:axId val="751773632"/>
      </c:barChart>
      <c:catAx>
        <c:axId val="7517851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51773632"/>
        <c:crosses val="autoZero"/>
        <c:auto val="1"/>
        <c:lblAlgn val="ctr"/>
        <c:lblOffset val="100"/>
        <c:noMultiLvlLbl val="0"/>
      </c:catAx>
      <c:valAx>
        <c:axId val="751773632"/>
        <c:scaling>
          <c:orientation val="minMax"/>
        </c:scaling>
        <c:delete val="1"/>
        <c:axPos val="l"/>
        <c:numFmt formatCode="General" sourceLinked="1"/>
        <c:majorTickMark val="none"/>
        <c:minorTickMark val="none"/>
        <c:tickLblPos val="nextTo"/>
        <c:crossAx val="751785152"/>
        <c:crosses val="autoZero"/>
        <c:crossBetween val="between"/>
      </c:valAx>
      <c:spPr>
        <a:noFill/>
        <a:ln>
          <a:noFill/>
        </a:ln>
        <a:effectLst/>
      </c:spPr>
    </c:plotArea>
    <c:legend>
      <c:legendPos val="r"/>
      <c:layout>
        <c:manualLayout>
          <c:xMode val="edge"/>
          <c:yMode val="edge"/>
          <c:x val="0.77617607174103243"/>
          <c:y val="1.5828928667638943E-2"/>
          <c:w val="0.20740425794423525"/>
          <c:h val="0.1314144293768019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5.png"/><Relationship Id="rId3" Type="http://schemas.microsoft.com/office/2007/relationships/hdphoto" Target="../media/hdphoto1.wdp"/><Relationship Id="rId7" Type="http://schemas.openxmlformats.org/officeDocument/2006/relationships/hyperlink" Target="#'In Analysis'!A1"/><Relationship Id="rId12" Type="http://schemas.openxmlformats.org/officeDocument/2006/relationships/hyperlink" Target="#'Post Analysis '!A1"/><Relationship Id="rId2" Type="http://schemas.openxmlformats.org/officeDocument/2006/relationships/image" Target="../media/image1.png"/><Relationship Id="rId1" Type="http://schemas.openxmlformats.org/officeDocument/2006/relationships/hyperlink" Target="#'Pre Analysis'!A1"/><Relationship Id="rId6" Type="http://schemas.microsoft.com/office/2007/relationships/hdphoto" Target="../media/hdphoto2.wdp"/><Relationship Id="rId11" Type="http://schemas.microsoft.com/office/2007/relationships/hdphoto" Target="../media/hdphoto3.wdp"/><Relationship Id="rId5" Type="http://schemas.openxmlformats.org/officeDocument/2006/relationships/image" Target="../media/image2.png"/><Relationship Id="rId10" Type="http://schemas.openxmlformats.org/officeDocument/2006/relationships/image" Target="../media/image4.png"/><Relationship Id="rId4" Type="http://schemas.openxmlformats.org/officeDocument/2006/relationships/hyperlink" Target="#Dashboard!A1"/><Relationship Id="rId9" Type="http://schemas.openxmlformats.org/officeDocument/2006/relationships/hyperlink" Target="#'customer'!A1"/><Relationship Id="rId14" Type="http://schemas.microsoft.com/office/2007/relationships/hdphoto" Target="../media/hdphoto4.wdp"/></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5.png"/><Relationship Id="rId3" Type="http://schemas.microsoft.com/office/2007/relationships/hdphoto" Target="../media/hdphoto5.wdp"/><Relationship Id="rId7" Type="http://schemas.openxmlformats.org/officeDocument/2006/relationships/hyperlink" Target="#'In Analysis'!A1"/><Relationship Id="rId12" Type="http://schemas.openxmlformats.org/officeDocument/2006/relationships/hyperlink" Target="#'Post Analysis '!A1"/><Relationship Id="rId2" Type="http://schemas.openxmlformats.org/officeDocument/2006/relationships/image" Target="../media/image6.png"/><Relationship Id="rId1" Type="http://schemas.openxmlformats.org/officeDocument/2006/relationships/hyperlink" Target="#'Pre Analysis'!A1"/><Relationship Id="rId6" Type="http://schemas.microsoft.com/office/2007/relationships/hdphoto" Target="../media/hdphoto6.wdp"/><Relationship Id="rId11" Type="http://schemas.microsoft.com/office/2007/relationships/hdphoto" Target="../media/hdphoto3.wdp"/><Relationship Id="rId5" Type="http://schemas.openxmlformats.org/officeDocument/2006/relationships/image" Target="../media/image7.png"/><Relationship Id="rId15" Type="http://schemas.openxmlformats.org/officeDocument/2006/relationships/image" Target="../media/image8.png"/><Relationship Id="rId10" Type="http://schemas.openxmlformats.org/officeDocument/2006/relationships/image" Target="../media/image4.png"/><Relationship Id="rId4" Type="http://schemas.openxmlformats.org/officeDocument/2006/relationships/hyperlink" Target="#Dashboard!A1"/><Relationship Id="rId9" Type="http://schemas.openxmlformats.org/officeDocument/2006/relationships/hyperlink" Target="#'customer'!A1"/><Relationship Id="rId14" Type="http://schemas.microsoft.com/office/2007/relationships/hdphoto" Target="../media/hdphoto4.wdp"/></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10.png"/><Relationship Id="rId3" Type="http://schemas.microsoft.com/office/2007/relationships/hdphoto" Target="../media/hdphoto5.wdp"/><Relationship Id="rId7" Type="http://schemas.openxmlformats.org/officeDocument/2006/relationships/hyperlink" Target="#'In Analysis'!A1"/><Relationship Id="rId12" Type="http://schemas.microsoft.com/office/2007/relationships/hdphoto" Target="../media/hdphoto4.wdp"/><Relationship Id="rId2" Type="http://schemas.openxmlformats.org/officeDocument/2006/relationships/image" Target="../media/image6.png"/><Relationship Id="rId1" Type="http://schemas.openxmlformats.org/officeDocument/2006/relationships/hyperlink" Target="#'Pre Analysis'!A1"/><Relationship Id="rId6" Type="http://schemas.microsoft.com/office/2007/relationships/hdphoto" Target="../media/hdphoto7.wdp"/><Relationship Id="rId11" Type="http://schemas.openxmlformats.org/officeDocument/2006/relationships/image" Target="../media/image5.png"/><Relationship Id="rId5" Type="http://schemas.openxmlformats.org/officeDocument/2006/relationships/image" Target="../media/image9.png"/><Relationship Id="rId10" Type="http://schemas.microsoft.com/office/2007/relationships/hdphoto" Target="../media/hdphoto3.wdp"/><Relationship Id="rId4" Type="http://schemas.openxmlformats.org/officeDocument/2006/relationships/hyperlink" Target="#Dashboard!A1"/><Relationship Id="rId9"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image" Target="../media/image12.png"/><Relationship Id="rId18" Type="http://schemas.openxmlformats.org/officeDocument/2006/relationships/image" Target="../media/image4.png"/><Relationship Id="rId3" Type="http://schemas.openxmlformats.org/officeDocument/2006/relationships/chart" Target="../charts/chart3.xml"/><Relationship Id="rId21" Type="http://schemas.openxmlformats.org/officeDocument/2006/relationships/image" Target="../media/image14.png"/><Relationship Id="rId7" Type="http://schemas.openxmlformats.org/officeDocument/2006/relationships/image" Target="../media/image5.png"/><Relationship Id="rId12" Type="http://schemas.openxmlformats.org/officeDocument/2006/relationships/hyperlink" Target="#Dashboard!A1"/><Relationship Id="rId17" Type="http://schemas.openxmlformats.org/officeDocument/2006/relationships/hyperlink" Target="#'customer'!A1"/><Relationship Id="rId2" Type="http://schemas.openxmlformats.org/officeDocument/2006/relationships/chart" Target="../charts/chart2.xml"/><Relationship Id="rId16" Type="http://schemas.openxmlformats.org/officeDocument/2006/relationships/image" Target="../media/image3.png"/><Relationship Id="rId20" Type="http://schemas.openxmlformats.org/officeDocument/2006/relationships/image" Target="../media/image13.png"/><Relationship Id="rId1" Type="http://schemas.openxmlformats.org/officeDocument/2006/relationships/chart" Target="../charts/chart1.xml"/><Relationship Id="rId6" Type="http://schemas.openxmlformats.org/officeDocument/2006/relationships/hyperlink" Target="#'Post Analysis '!A1"/><Relationship Id="rId11" Type="http://schemas.microsoft.com/office/2007/relationships/hdphoto" Target="../media/hdphoto8.wdp"/><Relationship Id="rId24" Type="http://schemas.openxmlformats.org/officeDocument/2006/relationships/image" Target="../media/image10.png"/><Relationship Id="rId5" Type="http://schemas.openxmlformats.org/officeDocument/2006/relationships/chart" Target="../charts/chart5.xml"/><Relationship Id="rId15" Type="http://schemas.openxmlformats.org/officeDocument/2006/relationships/hyperlink" Target="#'In Analysis'!A1"/><Relationship Id="rId23" Type="http://schemas.openxmlformats.org/officeDocument/2006/relationships/image" Target="../media/image16.png"/><Relationship Id="rId10" Type="http://schemas.openxmlformats.org/officeDocument/2006/relationships/image" Target="../media/image11.png"/><Relationship Id="rId19" Type="http://schemas.microsoft.com/office/2007/relationships/hdphoto" Target="../media/hdphoto3.wdp"/><Relationship Id="rId4" Type="http://schemas.openxmlformats.org/officeDocument/2006/relationships/chart" Target="../charts/chart4.xml"/><Relationship Id="rId9" Type="http://schemas.openxmlformats.org/officeDocument/2006/relationships/hyperlink" Target="#'Pre Analysis'!A1"/><Relationship Id="rId14" Type="http://schemas.microsoft.com/office/2007/relationships/hdphoto" Target="../media/hdphoto9.wdp"/><Relationship Id="rId22" Type="http://schemas.openxmlformats.org/officeDocument/2006/relationships/image" Target="../media/image15.png"/></Relationships>
</file>

<file path=xl/drawings/_rels/drawing5.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5.png"/><Relationship Id="rId18" Type="http://schemas.openxmlformats.org/officeDocument/2006/relationships/image" Target="../media/image16.png"/><Relationship Id="rId3" Type="http://schemas.openxmlformats.org/officeDocument/2006/relationships/chart" Target="../charts/chart8.xml"/><Relationship Id="rId7" Type="http://schemas.microsoft.com/office/2007/relationships/hdphoto" Target="../media/hdphoto5.wdp"/><Relationship Id="rId12" Type="http://schemas.microsoft.com/office/2007/relationships/hdphoto" Target="../media/hdphoto3.wdp"/><Relationship Id="rId17" Type="http://schemas.openxmlformats.org/officeDocument/2006/relationships/image" Target="../media/image15.png"/><Relationship Id="rId2" Type="http://schemas.openxmlformats.org/officeDocument/2006/relationships/chart" Target="../charts/chart7.xml"/><Relationship Id="rId16" Type="http://schemas.openxmlformats.org/officeDocument/2006/relationships/image" Target="../media/image14.png"/><Relationship Id="rId1" Type="http://schemas.openxmlformats.org/officeDocument/2006/relationships/chart" Target="../charts/chart6.xml"/><Relationship Id="rId6" Type="http://schemas.openxmlformats.org/officeDocument/2006/relationships/image" Target="../media/image6.png"/><Relationship Id="rId11" Type="http://schemas.openxmlformats.org/officeDocument/2006/relationships/image" Target="../media/image4.png"/><Relationship Id="rId5" Type="http://schemas.openxmlformats.org/officeDocument/2006/relationships/chart" Target="../charts/chart10.xml"/><Relationship Id="rId15" Type="http://schemas.openxmlformats.org/officeDocument/2006/relationships/image" Target="../media/image13.png"/><Relationship Id="rId10" Type="http://schemas.openxmlformats.org/officeDocument/2006/relationships/image" Target="../media/image3.png"/><Relationship Id="rId4" Type="http://schemas.openxmlformats.org/officeDocument/2006/relationships/chart" Target="../charts/chart9.xml"/><Relationship Id="rId9" Type="http://schemas.microsoft.com/office/2007/relationships/hdphoto" Target="../media/hdphoto6.wdp"/><Relationship Id="rId14" Type="http://schemas.microsoft.com/office/2007/relationships/hdphoto" Target="../media/hdphoto4.wdp"/></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13" Type="http://schemas.microsoft.com/office/2007/relationships/hdphoto" Target="../media/hdphoto4.wdp"/><Relationship Id="rId3" Type="http://schemas.microsoft.com/office/2007/relationships/hdphoto" Target="../media/hdphoto5.wdp"/><Relationship Id="rId7" Type="http://schemas.openxmlformats.org/officeDocument/2006/relationships/hyperlink" Target="#'In Analysis'!A1"/><Relationship Id="rId12" Type="http://schemas.openxmlformats.org/officeDocument/2006/relationships/image" Target="../media/image5.png"/><Relationship Id="rId17" Type="http://schemas.microsoft.com/office/2007/relationships/hdphoto" Target="../media/hdphoto10.wdp"/><Relationship Id="rId2" Type="http://schemas.openxmlformats.org/officeDocument/2006/relationships/image" Target="../media/image6.png"/><Relationship Id="rId16" Type="http://schemas.openxmlformats.org/officeDocument/2006/relationships/image" Target="../media/image17.png"/><Relationship Id="rId1" Type="http://schemas.openxmlformats.org/officeDocument/2006/relationships/hyperlink" Target="#'Pre Analysis'!A1"/><Relationship Id="rId6" Type="http://schemas.microsoft.com/office/2007/relationships/hdphoto" Target="../media/hdphoto6.wdp"/><Relationship Id="rId11" Type="http://schemas.openxmlformats.org/officeDocument/2006/relationships/hyperlink" Target="#'Post Analysis '!A1"/><Relationship Id="rId5" Type="http://schemas.openxmlformats.org/officeDocument/2006/relationships/image" Target="../media/image7.png"/><Relationship Id="rId15" Type="http://schemas.openxmlformats.org/officeDocument/2006/relationships/hyperlink" Target="#'Post Analysis  2'!A1"/><Relationship Id="rId10" Type="http://schemas.microsoft.com/office/2007/relationships/hdphoto" Target="../media/hdphoto3.wdp"/><Relationship Id="rId4" Type="http://schemas.openxmlformats.org/officeDocument/2006/relationships/hyperlink" Target="#Dashboard!A1"/><Relationship Id="rId9" Type="http://schemas.openxmlformats.org/officeDocument/2006/relationships/image" Target="../media/image4.png"/><Relationship Id="rId1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13" Type="http://schemas.microsoft.com/office/2007/relationships/hdphoto" Target="../media/hdphoto4.wdp"/><Relationship Id="rId3" Type="http://schemas.microsoft.com/office/2007/relationships/hdphoto" Target="../media/hdphoto5.wdp"/><Relationship Id="rId7" Type="http://schemas.openxmlformats.org/officeDocument/2006/relationships/hyperlink" Target="#'In Analysis'!A1"/><Relationship Id="rId12" Type="http://schemas.openxmlformats.org/officeDocument/2006/relationships/image" Target="../media/image5.png"/><Relationship Id="rId2" Type="http://schemas.openxmlformats.org/officeDocument/2006/relationships/image" Target="../media/image6.png"/><Relationship Id="rId16" Type="http://schemas.microsoft.com/office/2007/relationships/hdphoto" Target="../media/hdphoto10.wdp"/><Relationship Id="rId1" Type="http://schemas.openxmlformats.org/officeDocument/2006/relationships/hyperlink" Target="#'Pre Analysis'!A1"/><Relationship Id="rId6" Type="http://schemas.microsoft.com/office/2007/relationships/hdphoto" Target="../media/hdphoto6.wdp"/><Relationship Id="rId11" Type="http://schemas.openxmlformats.org/officeDocument/2006/relationships/hyperlink" Target="#'Post Analysis '!A1"/><Relationship Id="rId5" Type="http://schemas.openxmlformats.org/officeDocument/2006/relationships/image" Target="../media/image7.png"/><Relationship Id="rId15" Type="http://schemas.openxmlformats.org/officeDocument/2006/relationships/image" Target="../media/image17.png"/><Relationship Id="rId10" Type="http://schemas.microsoft.com/office/2007/relationships/hdphoto" Target="../media/hdphoto3.wdp"/><Relationship Id="rId4" Type="http://schemas.openxmlformats.org/officeDocument/2006/relationships/hyperlink" Target="#Dashboard!A1"/><Relationship Id="rId9" Type="http://schemas.openxmlformats.org/officeDocument/2006/relationships/image" Target="../media/image4.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571500</xdr:colOff>
      <xdr:row>0</xdr:row>
      <xdr:rowOff>160020</xdr:rowOff>
    </xdr:from>
    <xdr:to>
      <xdr:col>5</xdr:col>
      <xdr:colOff>661731</xdr:colOff>
      <xdr:row>37</xdr:row>
      <xdr:rowOff>47741</xdr:rowOff>
    </xdr:to>
    <xdr:sp macro="" textlink="">
      <xdr:nvSpPr>
        <xdr:cNvPr id="2" name="Rectangle: Top Corners Rounded 1">
          <a:extLst>
            <a:ext uri="{FF2B5EF4-FFF2-40B4-BE49-F238E27FC236}">
              <a16:creationId xmlns:a16="http://schemas.microsoft.com/office/drawing/2014/main" id="{65051215-FA54-4EE5-9FAF-3AB0561893BB}"/>
            </a:ext>
          </a:extLst>
        </xdr:cNvPr>
        <xdr:cNvSpPr/>
      </xdr:nvSpPr>
      <xdr:spPr>
        <a:xfrm rot="16200000">
          <a:off x="493685" y="2607655"/>
          <a:ext cx="6654281" cy="1759011"/>
        </a:xfrm>
        <a:prstGeom prst="round2SameRect">
          <a:avLst>
            <a:gd name="adj1" fmla="val 17023"/>
            <a:gd name="adj2" fmla="val 0"/>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3</xdr:col>
      <xdr:colOff>17645</xdr:colOff>
      <xdr:row>10</xdr:row>
      <xdr:rowOff>107954</xdr:rowOff>
    </xdr:from>
    <xdr:to>
      <xdr:col>5</xdr:col>
      <xdr:colOff>571306</xdr:colOff>
      <xdr:row>13</xdr:row>
      <xdr:rowOff>23481</xdr:rowOff>
    </xdr:to>
    <xdr:grpSp>
      <xdr:nvGrpSpPr>
        <xdr:cNvPr id="3" name="Group 2">
          <a:extLst>
            <a:ext uri="{FF2B5EF4-FFF2-40B4-BE49-F238E27FC236}">
              <a16:creationId xmlns:a16="http://schemas.microsoft.com/office/drawing/2014/main" id="{78630BE3-19E9-4982-B079-9C819B7AE05D}"/>
            </a:ext>
          </a:extLst>
        </xdr:cNvPr>
        <xdr:cNvGrpSpPr/>
      </xdr:nvGrpSpPr>
      <xdr:grpSpPr>
        <a:xfrm>
          <a:off x="3027545" y="1917704"/>
          <a:ext cx="1582361" cy="458452"/>
          <a:chOff x="2587146" y="2052064"/>
          <a:chExt cx="1582361" cy="464167"/>
        </a:xfrm>
      </xdr:grpSpPr>
      <xdr:grpSp>
        <xdr:nvGrpSpPr>
          <xdr:cNvPr id="4" name="Group 3">
            <a:extLst>
              <a:ext uri="{FF2B5EF4-FFF2-40B4-BE49-F238E27FC236}">
                <a16:creationId xmlns:a16="http://schemas.microsoft.com/office/drawing/2014/main" id="{933672D3-463A-D3EC-01AF-8323F728F550}"/>
              </a:ext>
            </a:extLst>
          </xdr:cNvPr>
          <xdr:cNvGrpSpPr/>
        </xdr:nvGrpSpPr>
        <xdr:grpSpPr>
          <a:xfrm>
            <a:off x="2587146" y="2052064"/>
            <a:ext cx="1582361" cy="464167"/>
            <a:chOff x="2556709" y="1315890"/>
            <a:chExt cx="1594187" cy="448742"/>
          </a:xfrm>
        </xdr:grpSpPr>
        <xdr:sp macro="" textlink="">
          <xdr:nvSpPr>
            <xdr:cNvPr id="6" name="Rectangle: Rounded Corners 5">
              <a:extLst>
                <a:ext uri="{FF2B5EF4-FFF2-40B4-BE49-F238E27FC236}">
                  <a16:creationId xmlns:a16="http://schemas.microsoft.com/office/drawing/2014/main" id="{40009AA6-5C4D-4D1C-E39F-C122E62B9503}"/>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7" name="Oval 6">
              <a:extLst>
                <a:ext uri="{FF2B5EF4-FFF2-40B4-BE49-F238E27FC236}">
                  <a16:creationId xmlns:a16="http://schemas.microsoft.com/office/drawing/2014/main" id="{D61FE911-A37F-F239-5BD8-B4DE3BE1F1E5}"/>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8" name="TextBox 50">
              <a:extLst>
                <a:ext uri="{FF2B5EF4-FFF2-40B4-BE49-F238E27FC236}">
                  <a16:creationId xmlns:a16="http://schemas.microsoft.com/office/drawing/2014/main" id="{ADF9329D-9DC6-9CC8-B84D-F275205CFEA3}"/>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Pre Analysis</a:t>
              </a:r>
            </a:p>
          </xdr:txBody>
        </xdr:sp>
      </xdr:grpSp>
      <xdr:pic>
        <xdr:nvPicPr>
          <xdr:cNvPr id="5" name="Picture 4">
            <a:hlinkClick xmlns:r="http://schemas.openxmlformats.org/officeDocument/2006/relationships" r:id="rId1"/>
            <a:extLst>
              <a:ext uri="{FF2B5EF4-FFF2-40B4-BE49-F238E27FC236}">
                <a16:creationId xmlns:a16="http://schemas.microsoft.com/office/drawing/2014/main" id="{F0FE134B-B2DD-8FEF-FA3E-5DDEBE8CC045}"/>
              </a:ext>
            </a:extLst>
          </xdr:cNvPr>
          <xdr:cNvPicPr>
            <a:picLocks noChangeAspect="1"/>
          </xdr:cNvPicPr>
        </xdr:nvPicPr>
        <xdr:blipFill>
          <a:blip xmlns:r="http://schemas.openxmlformats.org/officeDocument/2006/relationships" r:embed="rId2" cstate="print">
            <a:duotone>
              <a:prstClr val="black"/>
              <a:schemeClr val="tx2">
                <a:tint val="45000"/>
                <a:satMod val="400000"/>
              </a:schemeClr>
            </a:duotone>
            <a:extLst>
              <a:ext uri="{BEBA8EAE-BF5A-486C-A8C5-ECC9F3942E4B}">
                <a14:imgProps xmlns:a14="http://schemas.microsoft.com/office/drawing/2010/main">
                  <a14:imgLayer r:embed="rId3">
                    <a14:imgEffect>
                      <a14:sharpenSoften amount="50000"/>
                    </a14:imgEffect>
                  </a14:imgLayer>
                </a14:imgProps>
              </a:ext>
              <a:ext uri="{28A0092B-C50C-407E-A947-70E740481C1C}">
                <a14:useLocalDpi xmlns:a14="http://schemas.microsoft.com/office/drawing/2010/main" val="0"/>
              </a:ext>
            </a:extLst>
          </a:blip>
          <a:stretch>
            <a:fillRect/>
          </a:stretch>
        </xdr:blipFill>
        <xdr:spPr>
          <a:xfrm>
            <a:off x="2706077" y="2159001"/>
            <a:ext cx="228600" cy="228600"/>
          </a:xfrm>
          <a:prstGeom prst="rect">
            <a:avLst/>
          </a:prstGeom>
        </xdr:spPr>
      </xdr:pic>
    </xdr:grpSp>
    <xdr:clientData/>
  </xdr:twoCellAnchor>
  <xdr:twoCellAnchor>
    <xdr:from>
      <xdr:col>3</xdr:col>
      <xdr:colOff>17645</xdr:colOff>
      <xdr:row>17</xdr:row>
      <xdr:rowOff>116072</xdr:rowOff>
    </xdr:from>
    <xdr:to>
      <xdr:col>5</xdr:col>
      <xdr:colOff>571306</xdr:colOff>
      <xdr:row>20</xdr:row>
      <xdr:rowOff>31599</xdr:rowOff>
    </xdr:to>
    <xdr:grpSp>
      <xdr:nvGrpSpPr>
        <xdr:cNvPr id="9" name="Group 8">
          <a:extLst>
            <a:ext uri="{FF2B5EF4-FFF2-40B4-BE49-F238E27FC236}">
              <a16:creationId xmlns:a16="http://schemas.microsoft.com/office/drawing/2014/main" id="{F30CB44F-180D-4C1C-909C-0F3641DE45AA}"/>
            </a:ext>
          </a:extLst>
        </xdr:cNvPr>
        <xdr:cNvGrpSpPr/>
      </xdr:nvGrpSpPr>
      <xdr:grpSpPr>
        <a:xfrm>
          <a:off x="3027545" y="3192647"/>
          <a:ext cx="1582361" cy="458452"/>
          <a:chOff x="2587146" y="3340342"/>
          <a:chExt cx="1582361" cy="464167"/>
        </a:xfrm>
      </xdr:grpSpPr>
      <xdr:grpSp>
        <xdr:nvGrpSpPr>
          <xdr:cNvPr id="10" name="Group 9">
            <a:extLst>
              <a:ext uri="{FF2B5EF4-FFF2-40B4-BE49-F238E27FC236}">
                <a16:creationId xmlns:a16="http://schemas.microsoft.com/office/drawing/2014/main" id="{59129A65-8A99-C0E5-C5D5-97D66EC392E9}"/>
              </a:ext>
            </a:extLst>
          </xdr:cNvPr>
          <xdr:cNvGrpSpPr/>
        </xdr:nvGrpSpPr>
        <xdr:grpSpPr>
          <a:xfrm>
            <a:off x="2587146" y="3340342"/>
            <a:ext cx="1582361" cy="464167"/>
            <a:chOff x="2556709" y="1315890"/>
            <a:chExt cx="1594187" cy="448742"/>
          </a:xfrm>
        </xdr:grpSpPr>
        <xdr:sp macro="" textlink="">
          <xdr:nvSpPr>
            <xdr:cNvPr id="12" name="Rectangle: Rounded Corners 11">
              <a:extLst>
                <a:ext uri="{FF2B5EF4-FFF2-40B4-BE49-F238E27FC236}">
                  <a16:creationId xmlns:a16="http://schemas.microsoft.com/office/drawing/2014/main" id="{832C482D-92C2-C6BD-05C2-03EBF7399D3A}"/>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13" name="Oval 12">
              <a:extLst>
                <a:ext uri="{FF2B5EF4-FFF2-40B4-BE49-F238E27FC236}">
                  <a16:creationId xmlns:a16="http://schemas.microsoft.com/office/drawing/2014/main" id="{890F2195-10DE-864A-82D2-DFFDF0261564}"/>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14" name="TextBox 50">
              <a:extLst>
                <a:ext uri="{FF2B5EF4-FFF2-40B4-BE49-F238E27FC236}">
                  <a16:creationId xmlns:a16="http://schemas.microsoft.com/office/drawing/2014/main" id="{552DF197-913F-7C8C-0981-110DB8E71ECD}"/>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Dashboard</a:t>
              </a:r>
            </a:p>
          </xdr:txBody>
        </xdr:sp>
      </xdr:grpSp>
      <xdr:pic>
        <xdr:nvPicPr>
          <xdr:cNvPr id="11" name="Picture 10">
            <a:hlinkClick xmlns:r="http://schemas.openxmlformats.org/officeDocument/2006/relationships" r:id="rId4"/>
            <a:extLst>
              <a:ext uri="{FF2B5EF4-FFF2-40B4-BE49-F238E27FC236}">
                <a16:creationId xmlns:a16="http://schemas.microsoft.com/office/drawing/2014/main" id="{38361EFC-9612-E50E-78A0-39874F210474}"/>
              </a:ext>
            </a:extLst>
          </xdr:cNvPr>
          <xdr:cNvPicPr>
            <a:picLocks noChangeAspect="1"/>
          </xdr:cNvPicPr>
        </xdr:nvPicPr>
        <xdr:blipFill>
          <a:blip xmlns:r="http://schemas.openxmlformats.org/officeDocument/2006/relationships" r:embed="rId5" cstate="print">
            <a:duotone>
              <a:prstClr val="black"/>
              <a:srgbClr val="134E4C">
                <a:tint val="45000"/>
                <a:satMod val="400000"/>
              </a:srgbClr>
            </a:duotone>
            <a:extLst>
              <a:ext uri="{BEBA8EAE-BF5A-486C-A8C5-ECC9F3942E4B}">
                <a14:imgProps xmlns:a14="http://schemas.microsoft.com/office/drawing/2010/main">
                  <a14:imgLayer r:embed="rId6">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2690000" y="3452001"/>
            <a:ext cx="228600" cy="228600"/>
          </a:xfrm>
          <a:prstGeom prst="rect">
            <a:avLst/>
          </a:prstGeom>
        </xdr:spPr>
      </xdr:pic>
    </xdr:grpSp>
    <xdr:clientData/>
  </xdr:twoCellAnchor>
  <xdr:twoCellAnchor>
    <xdr:from>
      <xdr:col>3</xdr:col>
      <xdr:colOff>17645</xdr:colOff>
      <xdr:row>14</xdr:row>
      <xdr:rowOff>23143</xdr:rowOff>
    </xdr:from>
    <xdr:to>
      <xdr:col>5</xdr:col>
      <xdr:colOff>571306</xdr:colOff>
      <xdr:row>16</xdr:row>
      <xdr:rowOff>116409</xdr:rowOff>
    </xdr:to>
    <xdr:grpSp>
      <xdr:nvGrpSpPr>
        <xdr:cNvPr id="15" name="Group 14">
          <a:extLst>
            <a:ext uri="{FF2B5EF4-FFF2-40B4-BE49-F238E27FC236}">
              <a16:creationId xmlns:a16="http://schemas.microsoft.com/office/drawing/2014/main" id="{E61EAC88-6EB0-4F1C-8787-1AABD1B51AF2}"/>
            </a:ext>
          </a:extLst>
        </xdr:cNvPr>
        <xdr:cNvGrpSpPr/>
      </xdr:nvGrpSpPr>
      <xdr:grpSpPr>
        <a:xfrm>
          <a:off x="3027545" y="2556793"/>
          <a:ext cx="1582361" cy="455216"/>
          <a:chOff x="2587146" y="2698773"/>
          <a:chExt cx="1582361" cy="459026"/>
        </a:xfrm>
      </xdr:grpSpPr>
      <xdr:grpSp>
        <xdr:nvGrpSpPr>
          <xdr:cNvPr id="16" name="Group 15">
            <a:extLst>
              <a:ext uri="{FF2B5EF4-FFF2-40B4-BE49-F238E27FC236}">
                <a16:creationId xmlns:a16="http://schemas.microsoft.com/office/drawing/2014/main" id="{1C13140C-8439-B3CE-BF90-68F0901AA0BE}"/>
              </a:ext>
            </a:extLst>
          </xdr:cNvPr>
          <xdr:cNvGrpSpPr/>
        </xdr:nvGrpSpPr>
        <xdr:grpSpPr>
          <a:xfrm>
            <a:off x="2587146" y="2698773"/>
            <a:ext cx="1582361" cy="459026"/>
            <a:chOff x="2556709" y="1315890"/>
            <a:chExt cx="1594187" cy="448742"/>
          </a:xfrm>
        </xdr:grpSpPr>
        <xdr:sp macro="" textlink="">
          <xdr:nvSpPr>
            <xdr:cNvPr id="18" name="Rectangle: Rounded Corners 17">
              <a:extLst>
                <a:ext uri="{FF2B5EF4-FFF2-40B4-BE49-F238E27FC236}">
                  <a16:creationId xmlns:a16="http://schemas.microsoft.com/office/drawing/2014/main" id="{68E78900-C25E-E64B-E3DC-30385BD5257E}"/>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19" name="Oval 18">
              <a:extLst>
                <a:ext uri="{FF2B5EF4-FFF2-40B4-BE49-F238E27FC236}">
                  <a16:creationId xmlns:a16="http://schemas.microsoft.com/office/drawing/2014/main" id="{B375D913-73E1-0B61-0019-837AFEDDD239}"/>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0" name="TextBox 50">
              <a:extLst>
                <a:ext uri="{FF2B5EF4-FFF2-40B4-BE49-F238E27FC236}">
                  <a16:creationId xmlns:a16="http://schemas.microsoft.com/office/drawing/2014/main" id="{E3B57156-D069-753D-DE9F-5B225892E58B}"/>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In Analysis</a:t>
              </a:r>
            </a:p>
          </xdr:txBody>
        </xdr:sp>
      </xdr:grpSp>
      <xdr:pic>
        <xdr:nvPicPr>
          <xdr:cNvPr id="17" name="Picture 16">
            <a:hlinkClick xmlns:r="http://schemas.openxmlformats.org/officeDocument/2006/relationships" r:id="rId7"/>
            <a:extLst>
              <a:ext uri="{FF2B5EF4-FFF2-40B4-BE49-F238E27FC236}">
                <a16:creationId xmlns:a16="http://schemas.microsoft.com/office/drawing/2014/main" id="{E28862D7-5DEA-71AA-1DCA-4C984184F78D}"/>
              </a:ext>
            </a:extLst>
          </xdr:cNvPr>
          <xdr:cNvPicPr>
            <a:picLocks noChangeAspect="1"/>
          </xdr:cNvPicPr>
        </xdr:nvPicPr>
        <xdr:blipFill>
          <a:blip xmlns:r="http://schemas.openxmlformats.org/officeDocument/2006/relationships" r:embed="rId8" cstate="print">
            <a:duotone>
              <a:prstClr val="black"/>
              <a:srgbClr val="134E4C">
                <a:tint val="45000"/>
                <a:satMod val="400000"/>
              </a:srgbClr>
            </a:duotone>
            <a:extLst>
              <a:ext uri="{28A0092B-C50C-407E-A947-70E740481C1C}">
                <a14:useLocalDpi xmlns:a14="http://schemas.microsoft.com/office/drawing/2010/main" val="0"/>
              </a:ext>
            </a:extLst>
          </a:blip>
          <a:stretch>
            <a:fillRect/>
          </a:stretch>
        </xdr:blipFill>
        <xdr:spPr>
          <a:xfrm>
            <a:off x="2693463" y="2810694"/>
            <a:ext cx="228600" cy="228600"/>
          </a:xfrm>
          <a:prstGeom prst="rect">
            <a:avLst/>
          </a:prstGeom>
        </xdr:spPr>
      </xdr:pic>
    </xdr:grpSp>
    <xdr:clientData/>
  </xdr:twoCellAnchor>
  <xdr:twoCellAnchor>
    <xdr:from>
      <xdr:col>3</xdr:col>
      <xdr:colOff>17645</xdr:colOff>
      <xdr:row>7</xdr:row>
      <xdr:rowOff>15026</xdr:rowOff>
    </xdr:from>
    <xdr:to>
      <xdr:col>5</xdr:col>
      <xdr:colOff>571306</xdr:colOff>
      <xdr:row>9</xdr:row>
      <xdr:rowOff>108291</xdr:rowOff>
    </xdr:to>
    <xdr:grpSp>
      <xdr:nvGrpSpPr>
        <xdr:cNvPr id="21" name="Group 20">
          <a:extLst>
            <a:ext uri="{FF2B5EF4-FFF2-40B4-BE49-F238E27FC236}">
              <a16:creationId xmlns:a16="http://schemas.microsoft.com/office/drawing/2014/main" id="{C2CF68F8-09FC-4F57-B13B-42C6F08E339C}"/>
            </a:ext>
          </a:extLst>
        </xdr:cNvPr>
        <xdr:cNvGrpSpPr/>
      </xdr:nvGrpSpPr>
      <xdr:grpSpPr>
        <a:xfrm>
          <a:off x="3027545" y="1281851"/>
          <a:ext cx="1582361" cy="455215"/>
          <a:chOff x="2587146" y="1410496"/>
          <a:chExt cx="1582361" cy="459025"/>
        </a:xfrm>
      </xdr:grpSpPr>
      <xdr:grpSp>
        <xdr:nvGrpSpPr>
          <xdr:cNvPr id="22" name="Group 21">
            <a:extLst>
              <a:ext uri="{FF2B5EF4-FFF2-40B4-BE49-F238E27FC236}">
                <a16:creationId xmlns:a16="http://schemas.microsoft.com/office/drawing/2014/main" id="{12F2B7C1-D295-3157-6242-5C75C365ACA8}"/>
              </a:ext>
            </a:extLst>
          </xdr:cNvPr>
          <xdr:cNvGrpSpPr/>
        </xdr:nvGrpSpPr>
        <xdr:grpSpPr>
          <a:xfrm>
            <a:off x="2587146" y="1410496"/>
            <a:ext cx="1582361" cy="459025"/>
            <a:chOff x="2556709" y="1315890"/>
            <a:chExt cx="1594187" cy="448742"/>
          </a:xfrm>
        </xdr:grpSpPr>
        <xdr:sp macro="" textlink="">
          <xdr:nvSpPr>
            <xdr:cNvPr id="24" name="Rectangle: Rounded Corners 23">
              <a:extLst>
                <a:ext uri="{FF2B5EF4-FFF2-40B4-BE49-F238E27FC236}">
                  <a16:creationId xmlns:a16="http://schemas.microsoft.com/office/drawing/2014/main" id="{A8E1C360-ABEE-D36A-EC56-BE2DB73DB3EE}"/>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5" name="Oval 24">
              <a:extLst>
                <a:ext uri="{FF2B5EF4-FFF2-40B4-BE49-F238E27FC236}">
                  <a16:creationId xmlns:a16="http://schemas.microsoft.com/office/drawing/2014/main" id="{3C8FBCAB-E791-EF44-2ACD-8BAF1F3EF6A6}"/>
                </a:ext>
              </a:extLst>
            </xdr:cNvPr>
            <xdr:cNvSpPr/>
          </xdr:nvSpPr>
          <xdr:spPr>
            <a:xfrm>
              <a:off x="2609569" y="1355210"/>
              <a:ext cx="366948" cy="355386"/>
            </a:xfrm>
            <a:prstGeom prst="ellipse">
              <a:avLst/>
            </a:prstGeom>
            <a:solidFill>
              <a:schemeClr val="bg1"/>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6" name="TextBox 50">
              <a:extLst>
                <a:ext uri="{FF2B5EF4-FFF2-40B4-BE49-F238E27FC236}">
                  <a16:creationId xmlns:a16="http://schemas.microsoft.com/office/drawing/2014/main" id="{FE942168-B88F-5823-FB24-2256C81707BA}"/>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Dataset</a:t>
              </a:r>
            </a:p>
          </xdr:txBody>
        </xdr:sp>
      </xdr:grpSp>
      <xdr:pic>
        <xdr:nvPicPr>
          <xdr:cNvPr id="23" name="Picture 22">
            <a:hlinkClick xmlns:r="http://schemas.openxmlformats.org/officeDocument/2006/relationships" r:id="rId9"/>
            <a:extLst>
              <a:ext uri="{FF2B5EF4-FFF2-40B4-BE49-F238E27FC236}">
                <a16:creationId xmlns:a16="http://schemas.microsoft.com/office/drawing/2014/main" id="{07AC7AA9-E978-9EC6-F41B-567082837477}"/>
              </a:ext>
            </a:extLst>
          </xdr:cNvPr>
          <xdr:cNvPicPr>
            <a:picLocks noChangeAspect="1"/>
          </xdr:cNvPicPr>
        </xdr:nvPicPr>
        <xdr:blipFill>
          <a:blip xmlns:r="http://schemas.openxmlformats.org/officeDocument/2006/relationships" r:embed="rId10" cstate="print">
            <a:duotone>
              <a:schemeClr val="bg2">
                <a:shade val="45000"/>
                <a:satMod val="135000"/>
              </a:schemeClr>
              <a:prstClr val="white"/>
            </a:duotone>
            <a:alphaModFix/>
            <a:extLst>
              <a:ext uri="{BEBA8EAE-BF5A-486C-A8C5-ECC9F3942E4B}">
                <a14:imgProps xmlns:a14="http://schemas.microsoft.com/office/drawing/2010/main">
                  <a14:imgLayer r:embed="rId11">
                    <a14:imgEffect>
                      <a14:artisticCrisscrossEtching/>
                    </a14:imgEffect>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2715846" y="1514230"/>
            <a:ext cx="199392" cy="228600"/>
          </a:xfrm>
          <a:prstGeom prst="rect">
            <a:avLst/>
          </a:prstGeom>
        </xdr:spPr>
      </xdr:pic>
    </xdr:grpSp>
    <xdr:clientData/>
  </xdr:twoCellAnchor>
  <xdr:twoCellAnchor>
    <xdr:from>
      <xdr:col>3</xdr:col>
      <xdr:colOff>17645</xdr:colOff>
      <xdr:row>21</xdr:row>
      <xdr:rowOff>31263</xdr:rowOff>
    </xdr:from>
    <xdr:to>
      <xdr:col>5</xdr:col>
      <xdr:colOff>571306</xdr:colOff>
      <xdr:row>23</xdr:row>
      <xdr:rowOff>124528</xdr:rowOff>
    </xdr:to>
    <xdr:grpSp>
      <xdr:nvGrpSpPr>
        <xdr:cNvPr id="27" name="Group 26">
          <a:extLst>
            <a:ext uri="{FF2B5EF4-FFF2-40B4-BE49-F238E27FC236}">
              <a16:creationId xmlns:a16="http://schemas.microsoft.com/office/drawing/2014/main" id="{E36217C2-0C09-47A4-A4FC-5E96743B0B3C}"/>
            </a:ext>
          </a:extLst>
        </xdr:cNvPr>
        <xdr:cNvGrpSpPr/>
      </xdr:nvGrpSpPr>
      <xdr:grpSpPr>
        <a:xfrm>
          <a:off x="3027545" y="3831738"/>
          <a:ext cx="1582361" cy="455215"/>
          <a:chOff x="2587146" y="3987053"/>
          <a:chExt cx="1582361" cy="459025"/>
        </a:xfrm>
      </xdr:grpSpPr>
      <xdr:grpSp>
        <xdr:nvGrpSpPr>
          <xdr:cNvPr id="28" name="Group 27">
            <a:extLst>
              <a:ext uri="{FF2B5EF4-FFF2-40B4-BE49-F238E27FC236}">
                <a16:creationId xmlns:a16="http://schemas.microsoft.com/office/drawing/2014/main" id="{3D5F6281-30F7-0EC9-A980-C41EFB44F226}"/>
              </a:ext>
            </a:extLst>
          </xdr:cNvPr>
          <xdr:cNvGrpSpPr/>
        </xdr:nvGrpSpPr>
        <xdr:grpSpPr>
          <a:xfrm>
            <a:off x="2587146" y="3987053"/>
            <a:ext cx="1582361" cy="459025"/>
            <a:chOff x="2556709" y="1315890"/>
            <a:chExt cx="1594187" cy="448742"/>
          </a:xfrm>
        </xdr:grpSpPr>
        <xdr:sp macro="" textlink="">
          <xdr:nvSpPr>
            <xdr:cNvPr id="30" name="Rectangle: Rounded Corners 29">
              <a:extLst>
                <a:ext uri="{FF2B5EF4-FFF2-40B4-BE49-F238E27FC236}">
                  <a16:creationId xmlns:a16="http://schemas.microsoft.com/office/drawing/2014/main" id="{D0FB0D16-B25E-7262-4FF3-60EFFC9491C6}"/>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31" name="Oval 30">
              <a:extLst>
                <a:ext uri="{FF2B5EF4-FFF2-40B4-BE49-F238E27FC236}">
                  <a16:creationId xmlns:a16="http://schemas.microsoft.com/office/drawing/2014/main" id="{FA7DD780-5F5E-5A6E-9B65-0996B4ECDF9C}"/>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32" name="TextBox 50">
              <a:extLst>
                <a:ext uri="{FF2B5EF4-FFF2-40B4-BE49-F238E27FC236}">
                  <a16:creationId xmlns:a16="http://schemas.microsoft.com/office/drawing/2014/main" id="{A8647434-71F9-D2E2-13C2-EE386539A3A0}"/>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Post  Analysis</a:t>
              </a:r>
            </a:p>
          </xdr:txBody>
        </xdr:sp>
      </xdr:grpSp>
      <xdr:pic>
        <xdr:nvPicPr>
          <xdr:cNvPr id="29" name="Picture 28">
            <a:hlinkClick xmlns:r="http://schemas.openxmlformats.org/officeDocument/2006/relationships" r:id="rId12"/>
            <a:extLst>
              <a:ext uri="{FF2B5EF4-FFF2-40B4-BE49-F238E27FC236}">
                <a16:creationId xmlns:a16="http://schemas.microsoft.com/office/drawing/2014/main" id="{24FEA52F-51BC-0FDF-0346-ED6656F4AC82}"/>
              </a:ext>
            </a:extLst>
          </xdr:cNvPr>
          <xdr:cNvPicPr>
            <a:picLocks noChangeAspect="1"/>
          </xdr:cNvPicPr>
        </xdr:nvPicPr>
        <xdr:blipFill>
          <a:blip xmlns:r="http://schemas.openxmlformats.org/officeDocument/2006/relationships" r:embed="rId13" cstate="print">
            <a:duotone>
              <a:schemeClr val="bg2">
                <a:shade val="45000"/>
                <a:satMod val="135000"/>
              </a:schemeClr>
              <a:prstClr val="white"/>
            </a:duotone>
            <a:alphaModFix/>
            <a:extLst>
              <a:ext uri="{BEBA8EAE-BF5A-486C-A8C5-ECC9F3942E4B}">
                <a14:imgProps xmlns:a14="http://schemas.microsoft.com/office/drawing/2010/main">
                  <a14:imgLayer r:embed="rId14">
                    <a14:imgEffect>
                      <a14:sharpenSoften amount="50000"/>
                    </a14:imgEffect>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2707920" y="4085385"/>
            <a:ext cx="228600" cy="2286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110155</xdr:colOff>
      <xdr:row>1</xdr:row>
      <xdr:rowOff>100669</xdr:rowOff>
    </xdr:from>
    <xdr:to>
      <xdr:col>23</xdr:col>
      <xdr:colOff>460675</xdr:colOff>
      <xdr:row>37</xdr:row>
      <xdr:rowOff>63092</xdr:rowOff>
    </xdr:to>
    <xdr:sp macro="" textlink="">
      <xdr:nvSpPr>
        <xdr:cNvPr id="3" name="Rectangle: Rounded Corners 2">
          <a:extLst>
            <a:ext uri="{FF2B5EF4-FFF2-40B4-BE49-F238E27FC236}">
              <a16:creationId xmlns:a16="http://schemas.microsoft.com/office/drawing/2014/main" id="{2B234F89-8865-467E-3E4E-3AABB281E827}"/>
            </a:ext>
          </a:extLst>
        </xdr:cNvPr>
        <xdr:cNvSpPr/>
      </xdr:nvSpPr>
      <xdr:spPr>
        <a:xfrm>
          <a:off x="2532924" y="286284"/>
          <a:ext cx="11858674" cy="6644577"/>
        </a:xfrm>
        <a:prstGeom prst="roundRect">
          <a:avLst>
            <a:gd name="adj" fmla="val 4229"/>
          </a:avLst>
        </a:prstGeom>
        <a:solidFill>
          <a:srgbClr val="F0F0F0"/>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4</xdr:col>
      <xdr:colOff>78152</xdr:colOff>
      <xdr:row>1</xdr:row>
      <xdr:rowOff>89715</xdr:rowOff>
    </xdr:from>
    <xdr:to>
      <xdr:col>7</xdr:col>
      <xdr:colOff>20086</xdr:colOff>
      <xdr:row>37</xdr:row>
      <xdr:rowOff>61842</xdr:rowOff>
    </xdr:to>
    <xdr:sp macro="" textlink="">
      <xdr:nvSpPr>
        <xdr:cNvPr id="4" name="Rectangle: Top Corners Rounded 3">
          <a:extLst>
            <a:ext uri="{FF2B5EF4-FFF2-40B4-BE49-F238E27FC236}">
              <a16:creationId xmlns:a16="http://schemas.microsoft.com/office/drawing/2014/main" id="{6F495033-59D6-C63F-AEA6-BA608260DFBF}"/>
            </a:ext>
          </a:extLst>
        </xdr:cNvPr>
        <xdr:cNvSpPr/>
      </xdr:nvSpPr>
      <xdr:spPr>
        <a:xfrm rot="16200000">
          <a:off x="53286" y="2722965"/>
          <a:ext cx="6654281" cy="1759011"/>
        </a:xfrm>
        <a:prstGeom prst="round2SameRect">
          <a:avLst>
            <a:gd name="adj1" fmla="val 17023"/>
            <a:gd name="adj2" fmla="val 0"/>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7</xdr:col>
      <xdr:colOff>153671</xdr:colOff>
      <xdr:row>5</xdr:row>
      <xdr:rowOff>66257</xdr:rowOff>
    </xdr:from>
    <xdr:to>
      <xdr:col>23</xdr:col>
      <xdr:colOff>275591</xdr:colOff>
      <xdr:row>5</xdr:row>
      <xdr:rowOff>66257</xdr:rowOff>
    </xdr:to>
    <xdr:cxnSp macro="">
      <xdr:nvCxnSpPr>
        <xdr:cNvPr id="5" name="Straight Connector 4">
          <a:extLst>
            <a:ext uri="{FF2B5EF4-FFF2-40B4-BE49-F238E27FC236}">
              <a16:creationId xmlns:a16="http://schemas.microsoft.com/office/drawing/2014/main" id="{AFD7CF15-0F1A-7625-317C-8A3E6E14255C}"/>
            </a:ext>
          </a:extLst>
        </xdr:cNvPr>
        <xdr:cNvCxnSpPr>
          <a:cxnSpLocks/>
        </xdr:cNvCxnSpPr>
      </xdr:nvCxnSpPr>
      <xdr:spPr>
        <a:xfrm>
          <a:off x="4393517" y="994334"/>
          <a:ext cx="9812997" cy="0"/>
        </a:xfrm>
        <a:prstGeom prst="line">
          <a:avLst/>
        </a:prstGeom>
        <a:noFill/>
        <a:ln w="12700" cap="flat" cmpd="sng" algn="ctr">
          <a:solidFill>
            <a:sysClr val="window" lastClr="FFFFFF">
              <a:lumMod val="65000"/>
            </a:sysClr>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144961</xdr:colOff>
      <xdr:row>2</xdr:row>
      <xdr:rowOff>16899</xdr:rowOff>
    </xdr:from>
    <xdr:to>
      <xdr:col>13</xdr:col>
      <xdr:colOff>432771</xdr:colOff>
      <xdr:row>4</xdr:row>
      <xdr:rowOff>13698</xdr:rowOff>
    </xdr:to>
    <xdr:sp macro="" textlink="">
      <xdr:nvSpPr>
        <xdr:cNvPr id="11" name="TextBox 27">
          <a:extLst>
            <a:ext uri="{FF2B5EF4-FFF2-40B4-BE49-F238E27FC236}">
              <a16:creationId xmlns:a16="http://schemas.microsoft.com/office/drawing/2014/main" id="{3F9C40CE-BA07-EE6E-EEAA-6D41C1982C17}"/>
            </a:ext>
          </a:extLst>
        </xdr:cNvPr>
        <xdr:cNvSpPr txBox="1"/>
      </xdr:nvSpPr>
      <xdr:spPr>
        <a:xfrm>
          <a:off x="4384807" y="388130"/>
          <a:ext cx="3921964" cy="368030"/>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b="1">
              <a:solidFill>
                <a:sysClr val="window" lastClr="FFFFFF">
                  <a:lumMod val="50000"/>
                </a:sysClr>
              </a:solidFill>
              <a:latin typeface="Arial" panose="020B0604020202020204" pitchFamily="34" charset="0"/>
              <a:cs typeface="Arial" panose="020B0604020202020204" pitchFamily="34" charset="0"/>
            </a:rPr>
            <a:t>Pre Analysis Board</a:t>
          </a:r>
        </a:p>
      </xdr:txBody>
    </xdr:sp>
    <xdr:clientData/>
  </xdr:twoCellAnchor>
  <xdr:twoCellAnchor>
    <xdr:from>
      <xdr:col>7</xdr:col>
      <xdr:colOff>178828</xdr:colOff>
      <xdr:row>3</xdr:row>
      <xdr:rowOff>104476</xdr:rowOff>
    </xdr:from>
    <xdr:to>
      <xdr:col>17</xdr:col>
      <xdr:colOff>5860</xdr:colOff>
      <xdr:row>4</xdr:row>
      <xdr:rowOff>157981</xdr:rowOff>
    </xdr:to>
    <xdr:sp macro="" textlink="">
      <xdr:nvSpPr>
        <xdr:cNvPr id="19" name="TextBox 27">
          <a:extLst>
            <a:ext uri="{FF2B5EF4-FFF2-40B4-BE49-F238E27FC236}">
              <a16:creationId xmlns:a16="http://schemas.microsoft.com/office/drawing/2014/main" id="{8C17E615-27C5-4DAC-FBE8-934F79892258}"/>
            </a:ext>
          </a:extLst>
        </xdr:cNvPr>
        <xdr:cNvSpPr txBox="1"/>
      </xdr:nvSpPr>
      <xdr:spPr>
        <a:xfrm>
          <a:off x="4418674" y="661322"/>
          <a:ext cx="5883955" cy="239121"/>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050" i="0">
              <a:solidFill>
                <a:sysClr val="window" lastClr="FFFFFF">
                  <a:lumMod val="50000"/>
                </a:sysClr>
              </a:solidFill>
              <a:latin typeface="Bahnschrift Light SemiCondensed" panose="020B0502040204020203" pitchFamily="34" charset="0"/>
              <a:cs typeface="Arial" panose="020B0604020202020204" pitchFamily="34" charset="0"/>
            </a:rPr>
            <a:t>Understanding</a:t>
          </a:r>
          <a:r>
            <a:rPr lang="en-US" sz="1050" i="0" baseline="0">
              <a:solidFill>
                <a:sysClr val="window" lastClr="FFFFFF">
                  <a:lumMod val="50000"/>
                </a:sysClr>
              </a:solidFill>
              <a:latin typeface="Bahnschrift Light SemiCondensed" panose="020B0502040204020203" pitchFamily="34" charset="0"/>
              <a:cs typeface="Arial" panose="020B0604020202020204" pitchFamily="34" charset="0"/>
            </a:rPr>
            <a:t> Our Customer Base: key Metrics and Trend</a:t>
          </a:r>
          <a:endParaRPr lang="en-US" sz="1050" i="0">
            <a:solidFill>
              <a:sysClr val="window" lastClr="FFFFFF">
                <a:lumMod val="50000"/>
              </a:sysClr>
            </a:solidFill>
            <a:latin typeface="Bahnschrift Light SemiCondensed" panose="020B0502040204020203" pitchFamily="34" charset="0"/>
            <a:cs typeface="Arial" panose="020B0604020202020204" pitchFamily="34" charset="0"/>
          </a:endParaRPr>
        </a:p>
      </xdr:txBody>
    </xdr:sp>
    <xdr:clientData/>
  </xdr:twoCellAnchor>
  <xdr:twoCellAnchor>
    <xdr:from>
      <xdr:col>7</xdr:col>
      <xdr:colOff>287569</xdr:colOff>
      <xdr:row>5</xdr:row>
      <xdr:rowOff>173084</xdr:rowOff>
    </xdr:from>
    <xdr:to>
      <xdr:col>13</xdr:col>
      <xdr:colOff>298044</xdr:colOff>
      <xdr:row>7</xdr:row>
      <xdr:rowOff>77549</xdr:rowOff>
    </xdr:to>
    <xdr:sp macro="" textlink="">
      <xdr:nvSpPr>
        <xdr:cNvPr id="76" name="TextBox 52">
          <a:extLst>
            <a:ext uri="{FF2B5EF4-FFF2-40B4-BE49-F238E27FC236}">
              <a16:creationId xmlns:a16="http://schemas.microsoft.com/office/drawing/2014/main" id="{1D36C450-B79D-EC21-1C80-391478D12426}"/>
            </a:ext>
          </a:extLst>
        </xdr:cNvPr>
        <xdr:cNvSpPr txBox="1"/>
      </xdr:nvSpPr>
      <xdr:spPr>
        <a:xfrm>
          <a:off x="4527415" y="1101161"/>
          <a:ext cx="3644629" cy="275696"/>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200">
              <a:solidFill>
                <a:sysClr val="window" lastClr="FFFFFF">
                  <a:lumMod val="50000"/>
                </a:sysClr>
              </a:solidFill>
              <a:latin typeface="Arial" panose="020B0604020202020204" pitchFamily="34" charset="0"/>
              <a:cs typeface="Arial" panose="020B0604020202020204" pitchFamily="34" charset="0"/>
            </a:rPr>
            <a:t>Customer Wealth Profile</a:t>
          </a:r>
        </a:p>
      </xdr:txBody>
    </xdr:sp>
    <xdr:clientData/>
  </xdr:twoCellAnchor>
  <xdr:twoCellAnchor>
    <xdr:from>
      <xdr:col>7</xdr:col>
      <xdr:colOff>176555</xdr:colOff>
      <xdr:row>5</xdr:row>
      <xdr:rowOff>142829</xdr:rowOff>
    </xdr:from>
    <xdr:to>
      <xdr:col>15</xdr:col>
      <xdr:colOff>200109</xdr:colOff>
      <xdr:row>20</xdr:row>
      <xdr:rowOff>97692</xdr:rowOff>
    </xdr:to>
    <xdr:sp macro="" textlink="">
      <xdr:nvSpPr>
        <xdr:cNvPr id="7" name="Rectangle: Rounded Corners 6">
          <a:extLst>
            <a:ext uri="{FF2B5EF4-FFF2-40B4-BE49-F238E27FC236}">
              <a16:creationId xmlns:a16="http://schemas.microsoft.com/office/drawing/2014/main" id="{064072C8-EA32-51EA-17C3-7AF21340BF55}"/>
            </a:ext>
          </a:extLst>
        </xdr:cNvPr>
        <xdr:cNvSpPr/>
      </xdr:nvSpPr>
      <xdr:spPr>
        <a:xfrm>
          <a:off x="4416401" y="1070906"/>
          <a:ext cx="4869093" cy="2739094"/>
        </a:xfrm>
        <a:prstGeom prst="roundRect">
          <a:avLst>
            <a:gd name="adj" fmla="val 8339"/>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l"/>
          <a:endParaRPr lang="en-US" sz="1100">
            <a:solidFill>
              <a:srgbClr val="02403D"/>
            </a:solidFill>
            <a:latin typeface="Arial" panose="020B0604020202020204" pitchFamily="34" charset="0"/>
            <a:cs typeface="Arial" panose="020B0604020202020204" pitchFamily="34" charset="0"/>
          </a:endParaRPr>
        </a:p>
        <a:p>
          <a:pPr algn="l"/>
          <a:r>
            <a:rPr lang="en-US" sz="1100">
              <a:solidFill>
                <a:srgbClr val="02403D"/>
              </a:solidFill>
              <a:latin typeface="Arial" panose="020B0604020202020204" pitchFamily="34" charset="0"/>
              <a:cs typeface="Arial" panose="020B0604020202020204" pitchFamily="34" charset="0"/>
            </a:rPr>
            <a:t>1. </a:t>
          </a:r>
          <a:r>
            <a:rPr lang="en-US" sz="1100" b="1">
              <a:solidFill>
                <a:srgbClr val="02403D"/>
              </a:solidFill>
              <a:latin typeface="Arial" panose="020B0604020202020204" pitchFamily="34" charset="0"/>
              <a:cs typeface="Arial" panose="020B0604020202020204" pitchFamily="34" charset="0"/>
            </a:rPr>
            <a:t>Independent Variables: </a:t>
          </a:r>
        </a:p>
        <a:p>
          <a:pPr algn="l"/>
          <a:r>
            <a:rPr lang="en-US" sz="1100">
              <a:solidFill>
                <a:srgbClr val="02403D"/>
              </a:solidFill>
              <a:latin typeface="Arial" panose="020B0604020202020204" pitchFamily="34" charset="0"/>
              <a:cs typeface="Arial" panose="020B0604020202020204" pitchFamily="34" charset="0"/>
            </a:rPr>
            <a:t>Gender</a:t>
          </a:r>
        </a:p>
        <a:p>
          <a:pPr algn="l"/>
          <a:r>
            <a:rPr lang="en-US" sz="1100">
              <a:solidFill>
                <a:srgbClr val="02403D"/>
              </a:solidFill>
              <a:latin typeface="Arial" panose="020B0604020202020204" pitchFamily="34" charset="0"/>
              <a:cs typeface="Arial" panose="020B0604020202020204" pitchFamily="34" charset="0"/>
            </a:rPr>
            <a:t>Age</a:t>
          </a:r>
        </a:p>
        <a:p>
          <a:pPr algn="l"/>
          <a:r>
            <a:rPr lang="en-US" sz="1100">
              <a:solidFill>
                <a:srgbClr val="02403D"/>
              </a:solidFill>
              <a:latin typeface="Arial" panose="020B0604020202020204" pitchFamily="34" charset="0"/>
              <a:cs typeface="Arial" panose="020B0604020202020204" pitchFamily="34" charset="0"/>
            </a:rPr>
            <a:t>Region</a:t>
          </a:r>
        </a:p>
        <a:p>
          <a:pPr algn="l"/>
          <a:r>
            <a:rPr lang="en-US" sz="1100">
              <a:solidFill>
                <a:srgbClr val="02403D"/>
              </a:solidFill>
              <a:latin typeface="Arial" panose="020B0604020202020204" pitchFamily="34" charset="0"/>
              <a:cs typeface="Arial" panose="020B0604020202020204" pitchFamily="34" charset="0"/>
            </a:rPr>
            <a:t>Occupation</a:t>
          </a:r>
        </a:p>
        <a:p>
          <a:pPr algn="l"/>
          <a:r>
            <a:rPr lang="en-US" sz="1100">
              <a:solidFill>
                <a:srgbClr val="02403D"/>
              </a:solidFill>
              <a:latin typeface="Arial" panose="020B0604020202020204" pitchFamily="34" charset="0"/>
              <a:cs typeface="Arial" panose="020B0604020202020204" pitchFamily="34" charset="0"/>
            </a:rPr>
            <a:t>Income</a:t>
          </a:r>
        </a:p>
        <a:p>
          <a:pPr algn="l"/>
          <a:r>
            <a:rPr lang="en-US" sz="1100">
              <a:solidFill>
                <a:srgbClr val="02403D"/>
              </a:solidFill>
              <a:latin typeface="Arial" panose="020B0604020202020204" pitchFamily="34" charset="0"/>
              <a:cs typeface="Arial" panose="020B0604020202020204" pitchFamily="34" charset="0"/>
            </a:rPr>
            <a:t>Join_Date</a:t>
          </a:r>
        </a:p>
        <a:p>
          <a:pPr algn="l"/>
          <a:endParaRPr lang="en-US" sz="1100">
            <a:solidFill>
              <a:srgbClr val="02403D"/>
            </a:solidFill>
            <a:latin typeface="Arial" panose="020B0604020202020204" pitchFamily="34" charset="0"/>
            <a:cs typeface="Arial" panose="020B0604020202020204" pitchFamily="34" charset="0"/>
          </a:endParaRPr>
        </a:p>
        <a:p>
          <a:pPr algn="l"/>
          <a:endParaRPr lang="en-US" sz="1100">
            <a:solidFill>
              <a:srgbClr val="02403D"/>
            </a:solidFill>
            <a:latin typeface="Arial" panose="020B0604020202020204" pitchFamily="34" charset="0"/>
            <a:cs typeface="Arial" panose="020B0604020202020204" pitchFamily="34" charset="0"/>
          </a:endParaRPr>
        </a:p>
        <a:p>
          <a:pPr algn="l"/>
          <a:r>
            <a:rPr lang="en-US" sz="1100">
              <a:solidFill>
                <a:srgbClr val="02403D"/>
              </a:solidFill>
              <a:latin typeface="Arial" panose="020B0604020202020204" pitchFamily="34" charset="0"/>
              <a:cs typeface="Arial" panose="020B0604020202020204" pitchFamily="34" charset="0"/>
            </a:rPr>
            <a:t>2. </a:t>
          </a:r>
          <a:r>
            <a:rPr lang="en-US" sz="1100" b="1">
              <a:solidFill>
                <a:srgbClr val="02403D"/>
              </a:solidFill>
              <a:latin typeface="Arial" panose="020B0604020202020204" pitchFamily="34" charset="0"/>
              <a:cs typeface="Arial" panose="020B0604020202020204" pitchFamily="34" charset="0"/>
            </a:rPr>
            <a:t>Dependent Variables</a:t>
          </a:r>
          <a:r>
            <a:rPr lang="en-US" sz="1100">
              <a:solidFill>
                <a:srgbClr val="02403D"/>
              </a:solidFill>
              <a:latin typeface="Arial" panose="020B0604020202020204" pitchFamily="34" charset="0"/>
              <a:cs typeface="Arial" panose="020B0604020202020204" pitchFamily="34" charset="0"/>
            </a:rPr>
            <a:t>:</a:t>
          </a:r>
          <a:r>
            <a:rPr lang="en-US" sz="1100" baseline="0">
              <a:solidFill>
                <a:srgbClr val="02403D"/>
              </a:solidFill>
              <a:latin typeface="Arial" panose="020B0604020202020204" pitchFamily="34" charset="0"/>
              <a:cs typeface="Arial" panose="020B0604020202020204" pitchFamily="34" charset="0"/>
            </a:rPr>
            <a:t> </a:t>
          </a:r>
          <a:endParaRPr lang="en-US" sz="1100">
            <a:solidFill>
              <a:srgbClr val="02403D"/>
            </a:solidFill>
            <a:latin typeface="Arial" panose="020B0604020202020204" pitchFamily="34" charset="0"/>
            <a:cs typeface="Arial" panose="020B0604020202020204" pitchFamily="34" charset="0"/>
          </a:endParaRPr>
        </a:p>
        <a:p>
          <a:pPr algn="l"/>
          <a:r>
            <a:rPr lang="en-US" sz="1100">
              <a:solidFill>
                <a:srgbClr val="02403D"/>
              </a:solidFill>
              <a:latin typeface="Arial" panose="020B0604020202020204" pitchFamily="34" charset="0"/>
              <a:cs typeface="Arial" panose="020B0604020202020204" pitchFamily="34" charset="0"/>
            </a:rPr>
            <a:t>Customer Segment  </a:t>
          </a:r>
        </a:p>
        <a:p>
          <a:pPr algn="l"/>
          <a:r>
            <a:rPr lang="en-US" sz="1100">
              <a:solidFill>
                <a:srgbClr val="02403D"/>
              </a:solidFill>
              <a:latin typeface="Arial" panose="020B0604020202020204" pitchFamily="34" charset="0"/>
              <a:cs typeface="Arial" panose="020B0604020202020204" pitchFamily="34" charset="0"/>
            </a:rPr>
            <a:t>Tenure </a:t>
          </a:r>
        </a:p>
        <a:p>
          <a:pPr algn="l"/>
          <a:r>
            <a:rPr lang="en-US" sz="1100">
              <a:solidFill>
                <a:srgbClr val="02403D"/>
              </a:solidFill>
              <a:latin typeface="Arial" panose="020B0604020202020204" pitchFamily="34" charset="0"/>
              <a:cs typeface="Arial" panose="020B0604020202020204" pitchFamily="34" charset="0"/>
            </a:rPr>
            <a:t>Income Bracket </a:t>
          </a:r>
        </a:p>
      </xdr:txBody>
    </xdr:sp>
    <xdr:clientData/>
  </xdr:twoCellAnchor>
  <xdr:twoCellAnchor>
    <xdr:from>
      <xdr:col>15</xdr:col>
      <xdr:colOff>328136</xdr:colOff>
      <xdr:row>5</xdr:row>
      <xdr:rowOff>158459</xdr:rowOff>
    </xdr:from>
    <xdr:to>
      <xdr:col>23</xdr:col>
      <xdr:colOff>351691</xdr:colOff>
      <xdr:row>20</xdr:row>
      <xdr:rowOff>113322</xdr:rowOff>
    </xdr:to>
    <xdr:sp macro="" textlink="">
      <xdr:nvSpPr>
        <xdr:cNvPr id="77" name="Rectangle: Rounded Corners 76">
          <a:extLst>
            <a:ext uri="{FF2B5EF4-FFF2-40B4-BE49-F238E27FC236}">
              <a16:creationId xmlns:a16="http://schemas.microsoft.com/office/drawing/2014/main" id="{7B485A93-51A0-0F46-3794-DB8EB155EC75}"/>
            </a:ext>
          </a:extLst>
        </xdr:cNvPr>
        <xdr:cNvSpPr/>
      </xdr:nvSpPr>
      <xdr:spPr>
        <a:xfrm>
          <a:off x="9413521" y="1086536"/>
          <a:ext cx="4869093" cy="2739094"/>
        </a:xfrm>
        <a:prstGeom prst="roundRect">
          <a:avLst>
            <a:gd name="adj" fmla="val 8339"/>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l"/>
          <a:endParaRPr lang="en-US" sz="1100">
            <a:solidFill>
              <a:srgbClr val="02403D"/>
            </a:solidFill>
            <a:latin typeface="Arial" panose="020B0604020202020204" pitchFamily="34" charset="0"/>
            <a:cs typeface="Arial" panose="020B0604020202020204" pitchFamily="34" charset="0"/>
          </a:endParaRPr>
        </a:p>
        <a:p>
          <a:pPr algn="l"/>
          <a:endParaRPr lang="en-US" sz="1100">
            <a:solidFill>
              <a:srgbClr val="02403D"/>
            </a:solidFill>
            <a:latin typeface="Arial" panose="020B0604020202020204" pitchFamily="34" charset="0"/>
            <a:cs typeface="Arial" panose="020B0604020202020204" pitchFamily="34" charset="0"/>
          </a:endParaRPr>
        </a:p>
        <a:p>
          <a:pPr algn="l"/>
          <a:r>
            <a:rPr lang="en-US" sz="1100">
              <a:solidFill>
                <a:srgbClr val="02403D"/>
              </a:solidFill>
              <a:latin typeface="Arial" panose="020B0604020202020204" pitchFamily="34" charset="0"/>
              <a:cs typeface="Arial" panose="020B0604020202020204" pitchFamily="34" charset="0"/>
            </a:rPr>
            <a:t>1. What is our Ideal Customer Persona?</a:t>
          </a:r>
        </a:p>
        <a:p>
          <a:pPr algn="l"/>
          <a:endParaRPr lang="en-US" sz="1100">
            <a:solidFill>
              <a:srgbClr val="02403D"/>
            </a:solidFill>
            <a:latin typeface="Arial" panose="020B0604020202020204" pitchFamily="34" charset="0"/>
            <a:cs typeface="Arial" panose="020B0604020202020204" pitchFamily="34" charset="0"/>
          </a:endParaRPr>
        </a:p>
        <a:p>
          <a:pPr algn="l"/>
          <a:r>
            <a:rPr lang="en-US" sz="1100">
              <a:solidFill>
                <a:srgbClr val="02403D"/>
              </a:solidFill>
              <a:latin typeface="Arial" panose="020B0604020202020204" pitchFamily="34" charset="0"/>
              <a:cs typeface="Arial" panose="020B0604020202020204" pitchFamily="34" charset="0"/>
            </a:rPr>
            <a:t>2. Are we successfully attracting the "Next Gen" of wealth?</a:t>
          </a:r>
        </a:p>
        <a:p>
          <a:pPr algn="l"/>
          <a:endParaRPr lang="en-US" sz="1100">
            <a:solidFill>
              <a:srgbClr val="02403D"/>
            </a:solidFill>
            <a:latin typeface="Arial" panose="020B0604020202020204" pitchFamily="34" charset="0"/>
            <a:cs typeface="Arial" panose="020B0604020202020204" pitchFamily="34" charset="0"/>
          </a:endParaRPr>
        </a:p>
        <a:p>
          <a:pPr algn="l"/>
          <a:r>
            <a:rPr lang="en-US" sz="1100">
              <a:solidFill>
                <a:srgbClr val="02403D"/>
              </a:solidFill>
              <a:latin typeface="Arial" panose="020B0604020202020204" pitchFamily="34" charset="0"/>
              <a:cs typeface="Arial" panose="020B0604020202020204" pitchFamily="34" charset="0"/>
            </a:rPr>
            <a:t>3. How has our customer acquisition trended over the last decade?</a:t>
          </a:r>
        </a:p>
        <a:p>
          <a:pPr algn="l"/>
          <a:endParaRPr lang="en-US" sz="1100">
            <a:solidFill>
              <a:srgbClr val="02403D"/>
            </a:solidFill>
            <a:latin typeface="Arial" panose="020B0604020202020204" pitchFamily="34" charset="0"/>
            <a:cs typeface="Arial" panose="020B0604020202020204" pitchFamily="34" charset="0"/>
          </a:endParaRPr>
        </a:p>
        <a:p>
          <a:pPr algn="l"/>
          <a:r>
            <a:rPr lang="en-US" sz="1100">
              <a:solidFill>
                <a:srgbClr val="02403D"/>
              </a:solidFill>
              <a:latin typeface="Arial" panose="020B0604020202020204" pitchFamily="34" charset="0"/>
              <a:cs typeface="Arial" panose="020B0604020202020204" pitchFamily="34" charset="0"/>
            </a:rPr>
            <a:t>4. What is the "Gender Gap" in our high-net-worth segment?</a:t>
          </a:r>
        </a:p>
        <a:p>
          <a:pPr algn="l"/>
          <a:endParaRPr lang="en-US" sz="1100">
            <a:solidFill>
              <a:srgbClr val="02403D"/>
            </a:solidFill>
            <a:latin typeface="Arial" panose="020B0604020202020204" pitchFamily="34" charset="0"/>
            <a:cs typeface="Arial" panose="020B0604020202020204" pitchFamily="34" charset="0"/>
          </a:endParaRPr>
        </a:p>
        <a:p>
          <a:pPr algn="l"/>
          <a:r>
            <a:rPr lang="en-US" sz="1100">
              <a:solidFill>
                <a:srgbClr val="02403D"/>
              </a:solidFill>
              <a:latin typeface="Arial" panose="020B0604020202020204" pitchFamily="34" charset="0"/>
              <a:cs typeface="Arial" panose="020B0604020202020204" pitchFamily="34" charset="0"/>
            </a:rPr>
            <a:t>5. What is the health of our retention funnel?</a:t>
          </a:r>
        </a:p>
        <a:p>
          <a:pPr algn="l"/>
          <a:endParaRPr lang="en-US" sz="1100">
            <a:solidFill>
              <a:srgbClr val="02403D"/>
            </a:solidFill>
            <a:latin typeface="Arial" panose="020B0604020202020204" pitchFamily="34" charset="0"/>
            <a:cs typeface="Arial" panose="020B0604020202020204" pitchFamily="34" charset="0"/>
          </a:endParaRPr>
        </a:p>
        <a:p>
          <a:pPr algn="l"/>
          <a:r>
            <a:rPr lang="en-US" sz="1100">
              <a:solidFill>
                <a:srgbClr val="02403D"/>
              </a:solidFill>
              <a:latin typeface="Arial" panose="020B0604020202020204" pitchFamily="34" charset="0"/>
              <a:cs typeface="Arial" panose="020B0604020202020204" pitchFamily="34" charset="0"/>
            </a:rPr>
            <a:t>6. Is our portfolio diversified across professional sectors?</a:t>
          </a:r>
        </a:p>
      </xdr:txBody>
    </xdr:sp>
    <xdr:clientData/>
  </xdr:twoCellAnchor>
  <xdr:twoCellAnchor>
    <xdr:from>
      <xdr:col>7</xdr:col>
      <xdr:colOff>185616</xdr:colOff>
      <xdr:row>5</xdr:row>
      <xdr:rowOff>154435</xdr:rowOff>
    </xdr:from>
    <xdr:to>
      <xdr:col>15</xdr:col>
      <xdr:colOff>185615</xdr:colOff>
      <xdr:row>7</xdr:row>
      <xdr:rowOff>117232</xdr:rowOff>
    </xdr:to>
    <xdr:sp macro="" textlink="">
      <xdr:nvSpPr>
        <xdr:cNvPr id="79" name="TextBox 51">
          <a:extLst>
            <a:ext uri="{FF2B5EF4-FFF2-40B4-BE49-F238E27FC236}">
              <a16:creationId xmlns:a16="http://schemas.microsoft.com/office/drawing/2014/main" id="{6EABA968-49DE-83B8-9FB7-BDA61A6239DC}"/>
            </a:ext>
          </a:extLst>
        </xdr:cNvPr>
        <xdr:cNvSpPr txBox="1"/>
      </xdr:nvSpPr>
      <xdr:spPr>
        <a:xfrm>
          <a:off x="4425462" y="1082512"/>
          <a:ext cx="4845538" cy="334028"/>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b="1">
              <a:solidFill>
                <a:srgbClr val="02403D"/>
              </a:solidFill>
              <a:latin typeface="Arial" panose="020B0604020202020204" pitchFamily="34" charset="0"/>
              <a:cs typeface="Arial" panose="020B0604020202020204" pitchFamily="34" charset="0"/>
            </a:rPr>
            <a:t>Project Split</a:t>
          </a:r>
        </a:p>
      </xdr:txBody>
    </xdr:sp>
    <xdr:clientData/>
  </xdr:twoCellAnchor>
  <xdr:twoCellAnchor>
    <xdr:from>
      <xdr:col>15</xdr:col>
      <xdr:colOff>322384</xdr:colOff>
      <xdr:row>5</xdr:row>
      <xdr:rowOff>175847</xdr:rowOff>
    </xdr:from>
    <xdr:to>
      <xdr:col>23</xdr:col>
      <xdr:colOff>332154</xdr:colOff>
      <xdr:row>7</xdr:row>
      <xdr:rowOff>156308</xdr:rowOff>
    </xdr:to>
    <xdr:sp macro="" textlink="">
      <xdr:nvSpPr>
        <xdr:cNvPr id="80" name="TextBox 51">
          <a:extLst>
            <a:ext uri="{FF2B5EF4-FFF2-40B4-BE49-F238E27FC236}">
              <a16:creationId xmlns:a16="http://schemas.microsoft.com/office/drawing/2014/main" id="{0366BD3B-2764-3125-BBEF-68EE253B1D09}"/>
            </a:ext>
          </a:extLst>
        </xdr:cNvPr>
        <xdr:cNvSpPr txBox="1"/>
      </xdr:nvSpPr>
      <xdr:spPr>
        <a:xfrm>
          <a:off x="9407769" y="1103924"/>
          <a:ext cx="4855308" cy="351692"/>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b="1">
              <a:solidFill>
                <a:srgbClr val="02403D"/>
              </a:solidFill>
              <a:latin typeface="Arial" panose="020B0604020202020204" pitchFamily="34" charset="0"/>
              <a:cs typeface="Arial" panose="020B0604020202020204" pitchFamily="34" charset="0"/>
            </a:rPr>
            <a:t>Potiential Analysis / Question</a:t>
          </a:r>
        </a:p>
      </xdr:txBody>
    </xdr:sp>
    <xdr:clientData/>
  </xdr:twoCellAnchor>
  <xdr:twoCellAnchor>
    <xdr:from>
      <xdr:col>7</xdr:col>
      <xdr:colOff>143339</xdr:colOff>
      <xdr:row>21</xdr:row>
      <xdr:rowOff>48846</xdr:rowOff>
    </xdr:from>
    <xdr:to>
      <xdr:col>15</xdr:col>
      <xdr:colOff>166893</xdr:colOff>
      <xdr:row>36</xdr:row>
      <xdr:rowOff>142631</xdr:rowOff>
    </xdr:to>
    <xdr:sp macro="" textlink="">
      <xdr:nvSpPr>
        <xdr:cNvPr id="81" name="Rectangle: Rounded Corners 80">
          <a:extLst>
            <a:ext uri="{FF2B5EF4-FFF2-40B4-BE49-F238E27FC236}">
              <a16:creationId xmlns:a16="http://schemas.microsoft.com/office/drawing/2014/main" id="{EF2DD64A-471F-2B10-2940-8530404EC4B9}"/>
            </a:ext>
          </a:extLst>
        </xdr:cNvPr>
        <xdr:cNvSpPr/>
      </xdr:nvSpPr>
      <xdr:spPr>
        <a:xfrm>
          <a:off x="4383185" y="3946769"/>
          <a:ext cx="4869093" cy="2878016"/>
        </a:xfrm>
        <a:prstGeom prst="roundRect">
          <a:avLst>
            <a:gd name="adj" fmla="val 8339"/>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l"/>
          <a:r>
            <a:rPr lang="en-US" sz="1100" b="1">
              <a:solidFill>
                <a:srgbClr val="02403D"/>
              </a:solidFill>
              <a:latin typeface="Arial" panose="020B0604020202020204" pitchFamily="34" charset="0"/>
              <a:cs typeface="Arial" panose="020B0604020202020204" pitchFamily="34" charset="0"/>
            </a:rPr>
            <a:t>Industry Type</a:t>
          </a:r>
        </a:p>
        <a:p>
          <a:pPr algn="l"/>
          <a:r>
            <a:rPr lang="en-US" sz="1100">
              <a:solidFill>
                <a:srgbClr val="02403D"/>
              </a:solidFill>
              <a:latin typeface="Arial" panose="020B0604020202020204" pitchFamily="34" charset="0"/>
              <a:cs typeface="Arial" panose="020B0604020202020204" pitchFamily="34" charset="0"/>
            </a:rPr>
            <a:t>Banking &amp; Financial Services</a:t>
          </a:r>
        </a:p>
        <a:p>
          <a:pPr algn="l"/>
          <a:endParaRPr lang="en-US" sz="1100">
            <a:solidFill>
              <a:srgbClr val="02403D"/>
            </a:solidFill>
            <a:latin typeface="Arial" panose="020B0604020202020204" pitchFamily="34" charset="0"/>
            <a:cs typeface="Arial" panose="020B0604020202020204" pitchFamily="34" charset="0"/>
          </a:endParaRPr>
        </a:p>
        <a:p>
          <a:pPr algn="l"/>
          <a:r>
            <a:rPr lang="en-US" sz="1100" b="1">
              <a:solidFill>
                <a:srgbClr val="02403D"/>
              </a:solidFill>
              <a:latin typeface="Arial" panose="020B0604020202020204" pitchFamily="34" charset="0"/>
              <a:cs typeface="Arial" panose="020B0604020202020204" pitchFamily="34" charset="0"/>
            </a:rPr>
            <a:t>The Story of the Data</a:t>
          </a:r>
        </a:p>
        <a:p>
          <a:pPr algn="l"/>
          <a:r>
            <a:rPr lang="en-US" sz="1100">
              <a:solidFill>
                <a:srgbClr val="02403D"/>
              </a:solidFill>
              <a:latin typeface="Arial" panose="020B0604020202020204" pitchFamily="34" charset="0"/>
              <a:cs typeface="Arial" panose="020B0604020202020204" pitchFamily="34" charset="0"/>
            </a:rPr>
            <a:t>This data tells a story of Customer Lifecycle and Professional Growth. It captures how customers move from "New" to "Legacy" and it also shows a clear correlation between Occupation and Income Bracket. </a:t>
          </a:r>
        </a:p>
        <a:p>
          <a:pPr algn="l"/>
          <a:endParaRPr lang="en-US" sz="1100">
            <a:solidFill>
              <a:srgbClr val="02403D"/>
            </a:solidFill>
            <a:latin typeface="Arial" panose="020B0604020202020204" pitchFamily="34" charset="0"/>
            <a:cs typeface="Arial" panose="020B0604020202020204" pitchFamily="34" charset="0"/>
          </a:endParaRPr>
        </a:p>
        <a:p>
          <a:pPr algn="l"/>
          <a:r>
            <a:rPr lang="en-US" sz="1100" b="1">
              <a:solidFill>
                <a:srgbClr val="02403D"/>
              </a:solidFill>
              <a:latin typeface="Arial" panose="020B0604020202020204" pitchFamily="34" charset="0"/>
              <a:cs typeface="Arial" panose="020B0604020202020204" pitchFamily="34" charset="0"/>
            </a:rPr>
            <a:t>Stakeholders Of Project</a:t>
          </a:r>
        </a:p>
        <a:p>
          <a:pPr algn="l"/>
          <a:r>
            <a:rPr lang="en-US" sz="1100">
              <a:solidFill>
                <a:srgbClr val="02403D"/>
              </a:solidFill>
              <a:latin typeface="Arial" panose="020B0604020202020204" pitchFamily="34" charset="0"/>
              <a:cs typeface="Arial" panose="020B0604020202020204" pitchFamily="34" charset="0"/>
            </a:rPr>
            <a:t>Chef Executive Offier, Chief Finance Officer, Head of Sales, Chief marketing Officer</a:t>
          </a:r>
        </a:p>
        <a:p>
          <a:pPr algn="l"/>
          <a:endParaRPr lang="en-US" sz="1100">
            <a:solidFill>
              <a:srgbClr val="02403D"/>
            </a:solidFill>
            <a:latin typeface="Arial" panose="020B0604020202020204" pitchFamily="34" charset="0"/>
            <a:cs typeface="Arial" panose="020B0604020202020204" pitchFamily="34" charset="0"/>
          </a:endParaRPr>
        </a:p>
        <a:p>
          <a:pPr algn="l"/>
          <a:r>
            <a:rPr lang="en-US" sz="1100" b="1">
              <a:solidFill>
                <a:srgbClr val="02403D"/>
              </a:solidFill>
              <a:latin typeface="Arial" panose="020B0604020202020204" pitchFamily="34" charset="0"/>
              <a:cs typeface="Arial" panose="020B0604020202020204" pitchFamily="34" charset="0"/>
            </a:rPr>
            <a:t>What Success Means to This Industry</a:t>
          </a:r>
        </a:p>
        <a:p>
          <a:pPr algn="l"/>
          <a:r>
            <a:rPr lang="en-US" sz="1100">
              <a:solidFill>
                <a:srgbClr val="02403D"/>
              </a:solidFill>
              <a:latin typeface="Arial" panose="020B0604020202020204" pitchFamily="34" charset="0"/>
              <a:cs typeface="Arial" panose="020B0604020202020204" pitchFamily="34" charset="0"/>
            </a:rPr>
            <a:t>Success is measured by them Keeping customers long enough to move them from "New" to "Legacy" status, moving a customer from the "Retail" segment to "Corporate", and successfully onboarding Gen Z and Millennials to replace aging Boomer portfolios.</a:t>
          </a:r>
        </a:p>
      </xdr:txBody>
    </xdr:sp>
    <xdr:clientData/>
  </xdr:twoCellAnchor>
  <xdr:twoCellAnchor>
    <xdr:from>
      <xdr:col>15</xdr:col>
      <xdr:colOff>305508</xdr:colOff>
      <xdr:row>21</xdr:row>
      <xdr:rowOff>74246</xdr:rowOff>
    </xdr:from>
    <xdr:to>
      <xdr:col>23</xdr:col>
      <xdr:colOff>329063</xdr:colOff>
      <xdr:row>36</xdr:row>
      <xdr:rowOff>168031</xdr:rowOff>
    </xdr:to>
    <xdr:sp macro="" textlink="">
      <xdr:nvSpPr>
        <xdr:cNvPr id="82" name="Rectangle: Rounded Corners 81">
          <a:extLst>
            <a:ext uri="{FF2B5EF4-FFF2-40B4-BE49-F238E27FC236}">
              <a16:creationId xmlns:a16="http://schemas.microsoft.com/office/drawing/2014/main" id="{56360B14-EAB7-0806-1ABA-25A8183F9545}"/>
            </a:ext>
          </a:extLst>
        </xdr:cNvPr>
        <xdr:cNvSpPr/>
      </xdr:nvSpPr>
      <xdr:spPr>
        <a:xfrm>
          <a:off x="9390893" y="3972169"/>
          <a:ext cx="4869093" cy="2878016"/>
        </a:xfrm>
        <a:prstGeom prst="roundRect">
          <a:avLst>
            <a:gd name="adj" fmla="val 8339"/>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marL="0" indent="0" algn="l" defTabSz="914400" rtl="0" eaLnBrk="1" latinLnBrk="0" hangingPunct="1"/>
          <a:endParaRPr lang="en-US" sz="1100"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kern="1200">
              <a:solidFill>
                <a:srgbClr val="02403D"/>
              </a:solidFill>
              <a:latin typeface="Arial" panose="020B0604020202020204" pitchFamily="34" charset="0"/>
              <a:ea typeface="+mn-ea"/>
              <a:cs typeface="Arial" panose="020B0604020202020204" pitchFamily="34" charset="0"/>
            </a:rPr>
            <a:t>1.</a:t>
          </a:r>
          <a:r>
            <a:rPr lang="en-US" sz="1100" kern="1200" baseline="0">
              <a:solidFill>
                <a:srgbClr val="02403D"/>
              </a:solidFill>
              <a:latin typeface="Arial" panose="020B0604020202020204" pitchFamily="34" charset="0"/>
              <a:ea typeface="+mn-ea"/>
              <a:cs typeface="Arial" panose="020B0604020202020204" pitchFamily="34" charset="0"/>
            </a:rPr>
            <a:t> </a:t>
          </a:r>
          <a:r>
            <a:rPr lang="en-US" sz="1100" kern="1200">
              <a:solidFill>
                <a:srgbClr val="02403D"/>
              </a:solidFill>
              <a:latin typeface="Arial" panose="020B0604020202020204" pitchFamily="34" charset="0"/>
              <a:ea typeface="+mn-ea"/>
              <a:cs typeface="Arial" panose="020B0604020202020204" pitchFamily="34" charset="0"/>
            </a:rPr>
            <a:t>The average age of our customer will suggest who is likely looking for wealth management or long-term investment products rather than entry-level savings accounts.</a:t>
          </a:r>
        </a:p>
        <a:p>
          <a:pPr marL="0" indent="0" algn="l" defTabSz="914400" rtl="0" eaLnBrk="1" latinLnBrk="0" hangingPunct="1"/>
          <a:r>
            <a:rPr lang="en-US" sz="1100" kern="1200">
              <a:solidFill>
                <a:srgbClr val="02403D"/>
              </a:solidFill>
              <a:latin typeface="Arial" panose="020B0604020202020204" pitchFamily="34" charset="0"/>
              <a:ea typeface="+mn-ea"/>
              <a:cs typeface="Arial" panose="020B0604020202020204" pitchFamily="34" charset="0"/>
            </a:rPr>
            <a:t>2. A healthy chart of the Customers by Generation would show us whether we are to capture more of the younger demographic (Gen Z) or focus on the Millennials</a:t>
          </a:r>
        </a:p>
        <a:p>
          <a:pPr marL="0" indent="0" algn="l" defTabSz="914400" rtl="0" eaLnBrk="1" latinLnBrk="0" hangingPunct="1"/>
          <a:r>
            <a:rPr lang="en-US" sz="1100" kern="1200">
              <a:solidFill>
                <a:srgbClr val="02403D"/>
              </a:solidFill>
              <a:latin typeface="Arial" panose="020B0604020202020204" pitchFamily="34" charset="0"/>
              <a:ea typeface="+mn-ea"/>
              <a:cs typeface="Arial" panose="020B0604020202020204" pitchFamily="34" charset="0"/>
            </a:rPr>
            <a:t>3. This would determine whether we are improving over the years or we are decreasing in our acquisition of new customers.</a:t>
          </a:r>
        </a:p>
        <a:p>
          <a:pPr marL="0" indent="0" algn="l" defTabSz="914400" rtl="0" eaLnBrk="1" latinLnBrk="0" hangingPunct="1"/>
          <a:r>
            <a:rPr lang="en-US" sz="1100" kern="1200">
              <a:solidFill>
                <a:srgbClr val="02403D"/>
              </a:solidFill>
              <a:latin typeface="Arial" panose="020B0604020202020204" pitchFamily="34" charset="0"/>
              <a:ea typeface="+mn-ea"/>
              <a:cs typeface="Arial" panose="020B0604020202020204" pitchFamily="34" charset="0"/>
            </a:rPr>
            <a:t>4. This insight allows the marketing team to know precisely whom to tailor premium services toward.</a:t>
          </a:r>
        </a:p>
        <a:p>
          <a:pPr marL="0" indent="0" algn="l" defTabSz="914400" rtl="0" eaLnBrk="1" latinLnBrk="0" hangingPunct="1"/>
          <a:r>
            <a:rPr lang="en-US" sz="1100" kern="1200">
              <a:solidFill>
                <a:srgbClr val="02403D"/>
              </a:solidFill>
              <a:latin typeface="Arial" panose="020B0604020202020204" pitchFamily="34" charset="0"/>
              <a:ea typeface="+mn-ea"/>
              <a:cs typeface="Arial" panose="020B0604020202020204" pitchFamily="34" charset="0"/>
            </a:rPr>
            <a:t>5. This would help us identify if the "New" and "Emerging" groups are large enough to eventually replace "Legacy" customers who may eventually age out of the system.</a:t>
          </a:r>
        </a:p>
        <a:p>
          <a:pPr marL="0" indent="0" algn="l" defTabSz="914400" rtl="0" eaLnBrk="1" latinLnBrk="0" hangingPunct="1"/>
          <a:r>
            <a:rPr lang="en-US" sz="1100" kern="1200">
              <a:solidFill>
                <a:srgbClr val="02403D"/>
              </a:solidFill>
              <a:latin typeface="Arial" panose="020B0604020202020204" pitchFamily="34" charset="0"/>
              <a:ea typeface="+mn-ea"/>
              <a:cs typeface="Arial" panose="020B0604020202020204" pitchFamily="34" charset="0"/>
            </a:rPr>
            <a:t>6. Help determine the state of our risk management less a downturn in one specific industry (like Tech) won't crash the entire portfolio.</a:t>
          </a:r>
        </a:p>
      </xdr:txBody>
    </xdr:sp>
    <xdr:clientData/>
  </xdr:twoCellAnchor>
  <xdr:twoCellAnchor>
    <xdr:from>
      <xdr:col>15</xdr:col>
      <xdr:colOff>308708</xdr:colOff>
      <xdr:row>21</xdr:row>
      <xdr:rowOff>91913</xdr:rowOff>
    </xdr:from>
    <xdr:to>
      <xdr:col>23</xdr:col>
      <xdr:colOff>308708</xdr:colOff>
      <xdr:row>23</xdr:row>
      <xdr:rowOff>54710</xdr:rowOff>
    </xdr:to>
    <xdr:sp macro="" textlink="">
      <xdr:nvSpPr>
        <xdr:cNvPr id="84" name="TextBox 51">
          <a:extLst>
            <a:ext uri="{FF2B5EF4-FFF2-40B4-BE49-F238E27FC236}">
              <a16:creationId xmlns:a16="http://schemas.microsoft.com/office/drawing/2014/main" id="{4285D195-0D97-677D-5FA5-AE79B82E944E}"/>
            </a:ext>
          </a:extLst>
        </xdr:cNvPr>
        <xdr:cNvSpPr txBox="1"/>
      </xdr:nvSpPr>
      <xdr:spPr>
        <a:xfrm>
          <a:off x="9394093" y="3989836"/>
          <a:ext cx="4845538" cy="334028"/>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b="1">
              <a:solidFill>
                <a:srgbClr val="02403D"/>
              </a:solidFill>
              <a:latin typeface="Arial" panose="020B0604020202020204" pitchFamily="34" charset="0"/>
              <a:cs typeface="Arial" panose="020B0604020202020204" pitchFamily="34" charset="0"/>
            </a:rPr>
            <a:t>Potential Insight</a:t>
          </a:r>
        </a:p>
      </xdr:txBody>
    </xdr:sp>
    <xdr:clientData/>
  </xdr:twoCellAnchor>
  <xdr:twoCellAnchor>
    <xdr:from>
      <xdr:col>4</xdr:col>
      <xdr:colOff>164377</xdr:colOff>
      <xdr:row>11</xdr:row>
      <xdr:rowOff>10295</xdr:rowOff>
    </xdr:from>
    <xdr:to>
      <xdr:col>6</xdr:col>
      <xdr:colOff>535353</xdr:colOff>
      <xdr:row>13</xdr:row>
      <xdr:rowOff>103231</xdr:rowOff>
    </xdr:to>
    <xdr:grpSp>
      <xdr:nvGrpSpPr>
        <xdr:cNvPr id="113" name="Group 112">
          <a:extLst>
            <a:ext uri="{FF2B5EF4-FFF2-40B4-BE49-F238E27FC236}">
              <a16:creationId xmlns:a16="http://schemas.microsoft.com/office/drawing/2014/main" id="{25E7F4DA-194A-4F6A-870E-BC525E2342D7}"/>
            </a:ext>
          </a:extLst>
        </xdr:cNvPr>
        <xdr:cNvGrpSpPr/>
      </xdr:nvGrpSpPr>
      <xdr:grpSpPr>
        <a:xfrm>
          <a:off x="2602777" y="2059228"/>
          <a:ext cx="1590176" cy="465470"/>
          <a:chOff x="2587146" y="2052064"/>
          <a:chExt cx="1582361" cy="464167"/>
        </a:xfrm>
      </xdr:grpSpPr>
      <xdr:grpSp>
        <xdr:nvGrpSpPr>
          <xdr:cNvPr id="37" name="Group 36">
            <a:extLst>
              <a:ext uri="{FF2B5EF4-FFF2-40B4-BE49-F238E27FC236}">
                <a16:creationId xmlns:a16="http://schemas.microsoft.com/office/drawing/2014/main" id="{4FE21B94-21DF-1BD7-C977-FAD9B869D14C}"/>
              </a:ext>
            </a:extLst>
          </xdr:cNvPr>
          <xdr:cNvGrpSpPr/>
        </xdr:nvGrpSpPr>
        <xdr:grpSpPr>
          <a:xfrm>
            <a:off x="2587146" y="2052064"/>
            <a:ext cx="1582361" cy="464167"/>
            <a:chOff x="2556709" y="1315890"/>
            <a:chExt cx="1594187" cy="448742"/>
          </a:xfrm>
        </xdr:grpSpPr>
        <xdr:sp macro="" textlink="">
          <xdr:nvSpPr>
            <xdr:cNvPr id="50" name="Rectangle: Rounded Corners 49">
              <a:extLst>
                <a:ext uri="{FF2B5EF4-FFF2-40B4-BE49-F238E27FC236}">
                  <a16:creationId xmlns:a16="http://schemas.microsoft.com/office/drawing/2014/main" id="{3444C4F4-EE32-2C65-9F1F-FA0D2378613D}"/>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51" name="Oval 50">
              <a:extLst>
                <a:ext uri="{FF2B5EF4-FFF2-40B4-BE49-F238E27FC236}">
                  <a16:creationId xmlns:a16="http://schemas.microsoft.com/office/drawing/2014/main" id="{0ECD3688-7B44-C15F-A9A1-C7B1E29A8BDC}"/>
                </a:ext>
              </a:extLst>
            </xdr:cNvPr>
            <xdr:cNvSpPr/>
          </xdr:nvSpPr>
          <xdr:spPr>
            <a:xfrm>
              <a:off x="2609569" y="1355210"/>
              <a:ext cx="366948" cy="355386"/>
            </a:xfrm>
            <a:prstGeom prst="ellipse">
              <a:avLst/>
            </a:prstGeom>
            <a:solidFill>
              <a:schemeClr val="bg1"/>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52" name="TextBox 50">
              <a:extLst>
                <a:ext uri="{FF2B5EF4-FFF2-40B4-BE49-F238E27FC236}">
                  <a16:creationId xmlns:a16="http://schemas.microsoft.com/office/drawing/2014/main" id="{6B0D9D26-F229-4CF9-1C9E-D6B6CB67A3CB}"/>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Pre Analysis</a:t>
              </a:r>
            </a:p>
          </xdr:txBody>
        </xdr:sp>
      </xdr:grpSp>
      <xdr:pic>
        <xdr:nvPicPr>
          <xdr:cNvPr id="86" name="Picture 85">
            <a:hlinkClick xmlns:r="http://schemas.openxmlformats.org/officeDocument/2006/relationships" r:id="rId1"/>
            <a:extLst>
              <a:ext uri="{FF2B5EF4-FFF2-40B4-BE49-F238E27FC236}">
                <a16:creationId xmlns:a16="http://schemas.microsoft.com/office/drawing/2014/main" id="{432572F9-5001-6D04-2798-03C5A1B195B2}"/>
              </a:ext>
            </a:extLst>
          </xdr:cNvPr>
          <xdr:cNvPicPr>
            <a:picLocks noChangeAspect="1"/>
          </xdr:cNvPicPr>
        </xdr:nvPicPr>
        <xdr:blipFill>
          <a:blip xmlns:r="http://schemas.openxmlformats.org/officeDocument/2006/relationships" r:embed="rId2" cstate="print">
            <a:duotone>
              <a:prstClr val="black"/>
              <a:schemeClr val="tx2">
                <a:tint val="45000"/>
                <a:satMod val="400000"/>
              </a:schemeClr>
            </a:duotone>
            <a:extLst>
              <a:ext uri="{BEBA8EAE-BF5A-486C-A8C5-ECC9F3942E4B}">
                <a14:imgProps xmlns:a14="http://schemas.microsoft.com/office/drawing/2010/main">
                  <a14:imgLayer r:embed="rId3">
                    <a14:imgEffect>
                      <a14:sharpenSoften amount="50000"/>
                    </a14:imgEffect>
                  </a14:imgLayer>
                </a14:imgProps>
              </a:ext>
              <a:ext uri="{28A0092B-C50C-407E-A947-70E740481C1C}">
                <a14:useLocalDpi xmlns:a14="http://schemas.microsoft.com/office/drawing/2010/main" val="0"/>
              </a:ext>
            </a:extLst>
          </a:blip>
          <a:stretch>
            <a:fillRect/>
          </a:stretch>
        </xdr:blipFill>
        <xdr:spPr>
          <a:xfrm>
            <a:off x="2706077" y="2159001"/>
            <a:ext cx="228600" cy="228600"/>
          </a:xfrm>
          <a:prstGeom prst="rect">
            <a:avLst/>
          </a:prstGeom>
        </xdr:spPr>
      </xdr:pic>
    </xdr:grpSp>
    <xdr:clientData/>
  </xdr:twoCellAnchor>
  <xdr:twoCellAnchor>
    <xdr:from>
      <xdr:col>4</xdr:col>
      <xdr:colOff>164377</xdr:colOff>
      <xdr:row>17</xdr:row>
      <xdr:rowOff>184880</xdr:rowOff>
    </xdr:from>
    <xdr:to>
      <xdr:col>6</xdr:col>
      <xdr:colOff>535353</xdr:colOff>
      <xdr:row>20</xdr:row>
      <xdr:rowOff>92201</xdr:rowOff>
    </xdr:to>
    <xdr:grpSp>
      <xdr:nvGrpSpPr>
        <xdr:cNvPr id="115" name="Group 114">
          <a:extLst>
            <a:ext uri="{FF2B5EF4-FFF2-40B4-BE49-F238E27FC236}">
              <a16:creationId xmlns:a16="http://schemas.microsoft.com/office/drawing/2014/main" id="{FE5C3A97-784E-810D-30F9-FDBD48B1D32F}"/>
            </a:ext>
          </a:extLst>
        </xdr:cNvPr>
        <xdr:cNvGrpSpPr/>
      </xdr:nvGrpSpPr>
      <xdr:grpSpPr>
        <a:xfrm>
          <a:off x="2602777" y="3351413"/>
          <a:ext cx="1590176" cy="466121"/>
          <a:chOff x="2587146" y="3340342"/>
          <a:chExt cx="1582361" cy="464167"/>
        </a:xfrm>
      </xdr:grpSpPr>
      <xdr:grpSp>
        <xdr:nvGrpSpPr>
          <xdr:cNvPr id="39" name="Group 38">
            <a:extLst>
              <a:ext uri="{FF2B5EF4-FFF2-40B4-BE49-F238E27FC236}">
                <a16:creationId xmlns:a16="http://schemas.microsoft.com/office/drawing/2014/main" id="{440565BF-CAD1-9594-E510-D8D62EBE29DB}"/>
              </a:ext>
            </a:extLst>
          </xdr:cNvPr>
          <xdr:cNvGrpSpPr/>
        </xdr:nvGrpSpPr>
        <xdr:grpSpPr>
          <a:xfrm>
            <a:off x="2587146" y="3340342"/>
            <a:ext cx="1582361" cy="464167"/>
            <a:chOff x="2556709" y="1315890"/>
            <a:chExt cx="1594187" cy="448742"/>
          </a:xfrm>
        </xdr:grpSpPr>
        <xdr:sp macro="" textlink="">
          <xdr:nvSpPr>
            <xdr:cNvPr id="44" name="Rectangle: Rounded Corners 43">
              <a:extLst>
                <a:ext uri="{FF2B5EF4-FFF2-40B4-BE49-F238E27FC236}">
                  <a16:creationId xmlns:a16="http://schemas.microsoft.com/office/drawing/2014/main" id="{9D0301C6-5FC6-A1FD-39AA-F2282AD198EB}"/>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5" name="Oval 44">
              <a:extLst>
                <a:ext uri="{FF2B5EF4-FFF2-40B4-BE49-F238E27FC236}">
                  <a16:creationId xmlns:a16="http://schemas.microsoft.com/office/drawing/2014/main" id="{D2E76094-A744-C201-CFDC-9B4AD7EA96E0}"/>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6" name="TextBox 50">
              <a:extLst>
                <a:ext uri="{FF2B5EF4-FFF2-40B4-BE49-F238E27FC236}">
                  <a16:creationId xmlns:a16="http://schemas.microsoft.com/office/drawing/2014/main" id="{C4B0B287-58CF-A7D4-EA94-ECD16B291188}"/>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Dashboard</a:t>
              </a:r>
            </a:p>
          </xdr:txBody>
        </xdr:sp>
      </xdr:grpSp>
      <xdr:pic>
        <xdr:nvPicPr>
          <xdr:cNvPr id="88" name="Picture 87">
            <a:hlinkClick xmlns:r="http://schemas.openxmlformats.org/officeDocument/2006/relationships" r:id="rId4"/>
            <a:extLst>
              <a:ext uri="{FF2B5EF4-FFF2-40B4-BE49-F238E27FC236}">
                <a16:creationId xmlns:a16="http://schemas.microsoft.com/office/drawing/2014/main" id="{823383E2-DCF3-BAF9-4067-CFD12A22CB4D}"/>
              </a:ext>
            </a:extLst>
          </xdr:cNvPr>
          <xdr:cNvPicPr>
            <a:picLocks noChangeAspect="1"/>
          </xdr:cNvPicPr>
        </xdr:nvPicPr>
        <xdr:blipFill>
          <a:blip xmlns:r="http://schemas.openxmlformats.org/officeDocument/2006/relationships" r:embed="rId5" cstate="print">
            <a:duotone>
              <a:prstClr val="black"/>
              <a:srgbClr val="134E4C">
                <a:tint val="45000"/>
                <a:satMod val="400000"/>
              </a:srgbClr>
            </a:duotone>
            <a:extLst>
              <a:ext uri="{BEBA8EAE-BF5A-486C-A8C5-ECC9F3942E4B}">
                <a14:imgProps xmlns:a14="http://schemas.microsoft.com/office/drawing/2010/main">
                  <a14:imgLayer r:embed="rId6">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2690000" y="3452001"/>
            <a:ext cx="228600" cy="228600"/>
          </a:xfrm>
          <a:prstGeom prst="rect">
            <a:avLst/>
          </a:prstGeom>
        </xdr:spPr>
      </xdr:pic>
    </xdr:grpSp>
    <xdr:clientData/>
  </xdr:twoCellAnchor>
  <xdr:twoCellAnchor>
    <xdr:from>
      <xdr:col>4</xdr:col>
      <xdr:colOff>164377</xdr:colOff>
      <xdr:row>14</xdr:row>
      <xdr:rowOff>100158</xdr:rowOff>
    </xdr:from>
    <xdr:to>
      <xdr:col>6</xdr:col>
      <xdr:colOff>535353</xdr:colOff>
      <xdr:row>17</xdr:row>
      <xdr:rowOff>2337</xdr:rowOff>
    </xdr:to>
    <xdr:grpSp>
      <xdr:nvGrpSpPr>
        <xdr:cNvPr id="114" name="Group 113">
          <a:extLst>
            <a:ext uri="{FF2B5EF4-FFF2-40B4-BE49-F238E27FC236}">
              <a16:creationId xmlns:a16="http://schemas.microsoft.com/office/drawing/2014/main" id="{5D495527-1EA4-9D9B-5D37-5D96B2EC8FF4}"/>
            </a:ext>
          </a:extLst>
        </xdr:cNvPr>
        <xdr:cNvGrpSpPr/>
      </xdr:nvGrpSpPr>
      <xdr:grpSpPr>
        <a:xfrm>
          <a:off x="2602777" y="2707891"/>
          <a:ext cx="1590176" cy="460979"/>
          <a:chOff x="2587146" y="2698773"/>
          <a:chExt cx="1582361" cy="459026"/>
        </a:xfrm>
      </xdr:grpSpPr>
      <xdr:grpSp>
        <xdr:nvGrpSpPr>
          <xdr:cNvPr id="38" name="Group 37">
            <a:extLst>
              <a:ext uri="{FF2B5EF4-FFF2-40B4-BE49-F238E27FC236}">
                <a16:creationId xmlns:a16="http://schemas.microsoft.com/office/drawing/2014/main" id="{1F6DA6B5-F564-A588-ABB0-A269DE9D4282}"/>
              </a:ext>
            </a:extLst>
          </xdr:cNvPr>
          <xdr:cNvGrpSpPr/>
        </xdr:nvGrpSpPr>
        <xdr:grpSpPr>
          <a:xfrm>
            <a:off x="2587146" y="2698773"/>
            <a:ext cx="1582361" cy="459026"/>
            <a:chOff x="2556709" y="1315890"/>
            <a:chExt cx="1594187" cy="448742"/>
          </a:xfrm>
        </xdr:grpSpPr>
        <xdr:sp macro="" textlink="">
          <xdr:nvSpPr>
            <xdr:cNvPr id="47" name="Rectangle: Rounded Corners 46">
              <a:extLst>
                <a:ext uri="{FF2B5EF4-FFF2-40B4-BE49-F238E27FC236}">
                  <a16:creationId xmlns:a16="http://schemas.microsoft.com/office/drawing/2014/main" id="{CBB67C26-5815-0B81-2489-C1AE36233718}"/>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8" name="Oval 47">
              <a:extLst>
                <a:ext uri="{FF2B5EF4-FFF2-40B4-BE49-F238E27FC236}">
                  <a16:creationId xmlns:a16="http://schemas.microsoft.com/office/drawing/2014/main" id="{4192798E-D2AD-0D3F-6C43-F9416D88D09D}"/>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9" name="TextBox 50">
              <a:extLst>
                <a:ext uri="{FF2B5EF4-FFF2-40B4-BE49-F238E27FC236}">
                  <a16:creationId xmlns:a16="http://schemas.microsoft.com/office/drawing/2014/main" id="{BBC8570A-07BD-F393-A027-329EB684BFDE}"/>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In Analysis</a:t>
              </a:r>
            </a:p>
          </xdr:txBody>
        </xdr:sp>
      </xdr:grpSp>
      <xdr:pic>
        <xdr:nvPicPr>
          <xdr:cNvPr id="90" name="Picture 89">
            <a:hlinkClick xmlns:r="http://schemas.openxmlformats.org/officeDocument/2006/relationships" r:id="rId7"/>
            <a:extLst>
              <a:ext uri="{FF2B5EF4-FFF2-40B4-BE49-F238E27FC236}">
                <a16:creationId xmlns:a16="http://schemas.microsoft.com/office/drawing/2014/main" id="{832BBA30-6291-D9A0-6629-C0A7CF5105BB}"/>
              </a:ext>
            </a:extLst>
          </xdr:cNvPr>
          <xdr:cNvPicPr>
            <a:picLocks noChangeAspect="1"/>
          </xdr:cNvPicPr>
        </xdr:nvPicPr>
        <xdr:blipFill>
          <a:blip xmlns:r="http://schemas.openxmlformats.org/officeDocument/2006/relationships" r:embed="rId8" cstate="print">
            <a:duotone>
              <a:prstClr val="black"/>
              <a:srgbClr val="134E4C">
                <a:tint val="45000"/>
                <a:satMod val="400000"/>
              </a:srgbClr>
            </a:duotone>
            <a:extLst>
              <a:ext uri="{28A0092B-C50C-407E-A947-70E740481C1C}">
                <a14:useLocalDpi xmlns:a14="http://schemas.microsoft.com/office/drawing/2010/main" val="0"/>
              </a:ext>
            </a:extLst>
          </a:blip>
          <a:stretch>
            <a:fillRect/>
          </a:stretch>
        </xdr:blipFill>
        <xdr:spPr>
          <a:xfrm>
            <a:off x="2693463" y="2810694"/>
            <a:ext cx="228600" cy="228600"/>
          </a:xfrm>
          <a:prstGeom prst="rect">
            <a:avLst/>
          </a:prstGeom>
        </xdr:spPr>
      </xdr:pic>
    </xdr:grpSp>
    <xdr:clientData/>
  </xdr:twoCellAnchor>
  <xdr:twoCellAnchor>
    <xdr:from>
      <xdr:col>4</xdr:col>
      <xdr:colOff>164377</xdr:colOff>
      <xdr:row>7</xdr:row>
      <xdr:rowOff>111188</xdr:rowOff>
    </xdr:from>
    <xdr:to>
      <xdr:col>6</xdr:col>
      <xdr:colOff>535353</xdr:colOff>
      <xdr:row>10</xdr:row>
      <xdr:rowOff>13367</xdr:rowOff>
    </xdr:to>
    <xdr:grpSp>
      <xdr:nvGrpSpPr>
        <xdr:cNvPr id="112" name="Group 111">
          <a:extLst>
            <a:ext uri="{FF2B5EF4-FFF2-40B4-BE49-F238E27FC236}">
              <a16:creationId xmlns:a16="http://schemas.microsoft.com/office/drawing/2014/main" id="{D54FFA51-0584-D066-D407-985AA55E1CF0}"/>
            </a:ext>
          </a:extLst>
        </xdr:cNvPr>
        <xdr:cNvGrpSpPr/>
      </xdr:nvGrpSpPr>
      <xdr:grpSpPr>
        <a:xfrm>
          <a:off x="2602777" y="1415055"/>
          <a:ext cx="1590176" cy="460979"/>
          <a:chOff x="2587146" y="1410496"/>
          <a:chExt cx="1582361" cy="459025"/>
        </a:xfrm>
      </xdr:grpSpPr>
      <xdr:grpSp>
        <xdr:nvGrpSpPr>
          <xdr:cNvPr id="36" name="Group 35">
            <a:extLst>
              <a:ext uri="{FF2B5EF4-FFF2-40B4-BE49-F238E27FC236}">
                <a16:creationId xmlns:a16="http://schemas.microsoft.com/office/drawing/2014/main" id="{912E6CFC-F60D-C8C9-C7B0-C1566A9131AA}"/>
              </a:ext>
            </a:extLst>
          </xdr:cNvPr>
          <xdr:cNvGrpSpPr/>
        </xdr:nvGrpSpPr>
        <xdr:grpSpPr>
          <a:xfrm>
            <a:off x="2587146" y="1410496"/>
            <a:ext cx="1582361" cy="459025"/>
            <a:chOff x="2556709" y="1315890"/>
            <a:chExt cx="1594187" cy="448742"/>
          </a:xfrm>
        </xdr:grpSpPr>
        <xdr:sp macro="" textlink="">
          <xdr:nvSpPr>
            <xdr:cNvPr id="53" name="Rectangle: Rounded Corners 52">
              <a:extLst>
                <a:ext uri="{FF2B5EF4-FFF2-40B4-BE49-F238E27FC236}">
                  <a16:creationId xmlns:a16="http://schemas.microsoft.com/office/drawing/2014/main" id="{E2D4B961-5FB6-EA77-07EB-6FB2F793E2ED}"/>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54" name="Oval 53">
              <a:extLst>
                <a:ext uri="{FF2B5EF4-FFF2-40B4-BE49-F238E27FC236}">
                  <a16:creationId xmlns:a16="http://schemas.microsoft.com/office/drawing/2014/main" id="{9D98A4A4-B07E-9298-CACC-6A6B0207BBA9}"/>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55" name="TextBox 50">
              <a:extLst>
                <a:ext uri="{FF2B5EF4-FFF2-40B4-BE49-F238E27FC236}">
                  <a16:creationId xmlns:a16="http://schemas.microsoft.com/office/drawing/2014/main" id="{F9074CB2-02A8-8A56-9D4A-387643C51012}"/>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Dataset</a:t>
              </a:r>
            </a:p>
          </xdr:txBody>
        </xdr:sp>
      </xdr:grpSp>
      <xdr:pic>
        <xdr:nvPicPr>
          <xdr:cNvPr id="92" name="Picture 91">
            <a:hlinkClick xmlns:r="http://schemas.openxmlformats.org/officeDocument/2006/relationships" r:id="rId9"/>
            <a:extLst>
              <a:ext uri="{FF2B5EF4-FFF2-40B4-BE49-F238E27FC236}">
                <a16:creationId xmlns:a16="http://schemas.microsoft.com/office/drawing/2014/main" id="{F20402F9-3EB6-3022-B724-980884BD6DCA}"/>
              </a:ext>
            </a:extLst>
          </xdr:cNvPr>
          <xdr:cNvPicPr>
            <a:picLocks noChangeAspect="1"/>
          </xdr:cNvPicPr>
        </xdr:nvPicPr>
        <xdr:blipFill>
          <a:blip xmlns:r="http://schemas.openxmlformats.org/officeDocument/2006/relationships" r:embed="rId10" cstate="print">
            <a:duotone>
              <a:schemeClr val="bg2">
                <a:shade val="45000"/>
                <a:satMod val="135000"/>
              </a:schemeClr>
              <a:prstClr val="white"/>
            </a:duotone>
            <a:alphaModFix/>
            <a:extLst>
              <a:ext uri="{BEBA8EAE-BF5A-486C-A8C5-ECC9F3942E4B}">
                <a14:imgProps xmlns:a14="http://schemas.microsoft.com/office/drawing/2010/main">
                  <a14:imgLayer r:embed="rId11">
                    <a14:imgEffect>
                      <a14:artisticCrisscrossEtching/>
                    </a14:imgEffect>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2715846" y="1514230"/>
            <a:ext cx="199392" cy="228600"/>
          </a:xfrm>
          <a:prstGeom prst="rect">
            <a:avLst/>
          </a:prstGeom>
        </xdr:spPr>
      </xdr:pic>
    </xdr:grpSp>
    <xdr:clientData/>
  </xdr:twoCellAnchor>
  <xdr:twoCellAnchor>
    <xdr:from>
      <xdr:col>4</xdr:col>
      <xdr:colOff>164377</xdr:colOff>
      <xdr:row>21</xdr:row>
      <xdr:rowOff>89130</xdr:rowOff>
    </xdr:from>
    <xdr:to>
      <xdr:col>6</xdr:col>
      <xdr:colOff>535353</xdr:colOff>
      <xdr:row>23</xdr:row>
      <xdr:rowOff>176924</xdr:rowOff>
    </xdr:to>
    <xdr:grpSp>
      <xdr:nvGrpSpPr>
        <xdr:cNvPr id="116" name="Group 115">
          <a:extLst>
            <a:ext uri="{FF2B5EF4-FFF2-40B4-BE49-F238E27FC236}">
              <a16:creationId xmlns:a16="http://schemas.microsoft.com/office/drawing/2014/main" id="{6E80438B-C335-E054-CBD9-1EF7D7D85F94}"/>
            </a:ext>
          </a:extLst>
        </xdr:cNvPr>
        <xdr:cNvGrpSpPr/>
      </xdr:nvGrpSpPr>
      <xdr:grpSpPr>
        <a:xfrm>
          <a:off x="2602777" y="4000730"/>
          <a:ext cx="1590176" cy="460327"/>
          <a:chOff x="2587146" y="3987053"/>
          <a:chExt cx="1582361" cy="459025"/>
        </a:xfrm>
      </xdr:grpSpPr>
      <xdr:grpSp>
        <xdr:nvGrpSpPr>
          <xdr:cNvPr id="40" name="Group 39">
            <a:extLst>
              <a:ext uri="{FF2B5EF4-FFF2-40B4-BE49-F238E27FC236}">
                <a16:creationId xmlns:a16="http://schemas.microsoft.com/office/drawing/2014/main" id="{6BB74A54-5F3E-72F1-DEEC-575652AB2F00}"/>
              </a:ext>
            </a:extLst>
          </xdr:cNvPr>
          <xdr:cNvGrpSpPr/>
        </xdr:nvGrpSpPr>
        <xdr:grpSpPr>
          <a:xfrm>
            <a:off x="2587146" y="3987053"/>
            <a:ext cx="1582361" cy="459025"/>
            <a:chOff x="2556709" y="1315890"/>
            <a:chExt cx="1594187" cy="448742"/>
          </a:xfrm>
        </xdr:grpSpPr>
        <xdr:sp macro="" textlink="">
          <xdr:nvSpPr>
            <xdr:cNvPr id="41" name="Rectangle: Rounded Corners 40">
              <a:extLst>
                <a:ext uri="{FF2B5EF4-FFF2-40B4-BE49-F238E27FC236}">
                  <a16:creationId xmlns:a16="http://schemas.microsoft.com/office/drawing/2014/main" id="{565C87B8-E434-CAEE-E512-9561A5BB1407}"/>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2" name="Oval 41">
              <a:extLst>
                <a:ext uri="{FF2B5EF4-FFF2-40B4-BE49-F238E27FC236}">
                  <a16:creationId xmlns:a16="http://schemas.microsoft.com/office/drawing/2014/main" id="{7CD22078-0964-ED48-7ECD-4E6DB7F75FA6}"/>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3" name="TextBox 50">
              <a:extLst>
                <a:ext uri="{FF2B5EF4-FFF2-40B4-BE49-F238E27FC236}">
                  <a16:creationId xmlns:a16="http://schemas.microsoft.com/office/drawing/2014/main" id="{B8EF02F9-3286-8DFF-045B-310214ECE897}"/>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Post  Analysis</a:t>
              </a:r>
            </a:p>
          </xdr:txBody>
        </xdr:sp>
      </xdr:grpSp>
      <xdr:pic>
        <xdr:nvPicPr>
          <xdr:cNvPr id="110" name="Picture 109">
            <a:hlinkClick xmlns:r="http://schemas.openxmlformats.org/officeDocument/2006/relationships" r:id="rId12"/>
            <a:extLst>
              <a:ext uri="{FF2B5EF4-FFF2-40B4-BE49-F238E27FC236}">
                <a16:creationId xmlns:a16="http://schemas.microsoft.com/office/drawing/2014/main" id="{0FEBCCC2-3989-FE2C-A248-4D1BDD227245}"/>
              </a:ext>
            </a:extLst>
          </xdr:cNvPr>
          <xdr:cNvPicPr>
            <a:picLocks noChangeAspect="1"/>
          </xdr:cNvPicPr>
        </xdr:nvPicPr>
        <xdr:blipFill>
          <a:blip xmlns:r="http://schemas.openxmlformats.org/officeDocument/2006/relationships" r:embed="rId13" cstate="print">
            <a:duotone>
              <a:schemeClr val="bg2">
                <a:shade val="45000"/>
                <a:satMod val="135000"/>
              </a:schemeClr>
              <a:prstClr val="white"/>
            </a:duotone>
            <a:alphaModFix/>
            <a:extLst>
              <a:ext uri="{BEBA8EAE-BF5A-486C-A8C5-ECC9F3942E4B}">
                <a14:imgProps xmlns:a14="http://schemas.microsoft.com/office/drawing/2010/main">
                  <a14:imgLayer r:embed="rId14">
                    <a14:imgEffect>
                      <a14:sharpenSoften amount="50000"/>
                    </a14:imgEffect>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2707920" y="4085385"/>
            <a:ext cx="228600" cy="228600"/>
          </a:xfrm>
          <a:prstGeom prst="rect">
            <a:avLst/>
          </a:prstGeom>
        </xdr:spPr>
      </xdr:pic>
    </xdr:grpSp>
    <xdr:clientData/>
  </xdr:twoCellAnchor>
  <xdr:twoCellAnchor editAs="oneCell">
    <xdr:from>
      <xdr:col>4</xdr:col>
      <xdr:colOff>164377</xdr:colOff>
      <xdr:row>1</xdr:row>
      <xdr:rowOff>10888</xdr:rowOff>
    </xdr:from>
    <xdr:to>
      <xdr:col>6</xdr:col>
      <xdr:colOff>498763</xdr:colOff>
      <xdr:row>6</xdr:row>
      <xdr:rowOff>108522</xdr:rowOff>
    </xdr:to>
    <xdr:pic>
      <xdr:nvPicPr>
        <xdr:cNvPr id="2" name="Picture 1">
          <a:extLst>
            <a:ext uri="{FF2B5EF4-FFF2-40B4-BE49-F238E27FC236}">
              <a16:creationId xmlns:a16="http://schemas.microsoft.com/office/drawing/2014/main" id="{C20050CC-2AE3-4CAD-A367-B82E8F220E09}"/>
            </a:ext>
          </a:extLst>
        </xdr:cNvPr>
        <xdr:cNvPicPr>
          <a:picLocks noChangeAspect="1"/>
        </xdr:cNvPicPr>
      </xdr:nvPicPr>
      <xdr:blipFill>
        <a:blip xmlns:r="http://schemas.openxmlformats.org/officeDocument/2006/relationships" r:embed="rId15" cstate="print">
          <a:duotone>
            <a:prstClr val="black"/>
            <a:srgbClr val="02403D">
              <a:tint val="45000"/>
              <a:satMod val="400000"/>
            </a:srgbClr>
          </a:duotone>
          <a:extLst>
            <a:ext uri="{28A0092B-C50C-407E-A947-70E740481C1C}">
              <a14:useLocalDpi xmlns:a14="http://schemas.microsoft.com/office/drawing/2010/main" val="0"/>
            </a:ext>
          </a:extLst>
        </a:blip>
        <a:stretch>
          <a:fillRect/>
        </a:stretch>
      </xdr:blipFill>
      <xdr:spPr>
        <a:xfrm>
          <a:off x="2602777" y="195945"/>
          <a:ext cx="1553586" cy="10229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110155</xdr:colOff>
      <xdr:row>1</xdr:row>
      <xdr:rowOff>100669</xdr:rowOff>
    </xdr:from>
    <xdr:to>
      <xdr:col>23</xdr:col>
      <xdr:colOff>460675</xdr:colOff>
      <xdr:row>37</xdr:row>
      <xdr:rowOff>63092</xdr:rowOff>
    </xdr:to>
    <xdr:sp macro="" textlink="">
      <xdr:nvSpPr>
        <xdr:cNvPr id="2" name="Rectangle: Rounded Corners 1">
          <a:extLst>
            <a:ext uri="{FF2B5EF4-FFF2-40B4-BE49-F238E27FC236}">
              <a16:creationId xmlns:a16="http://schemas.microsoft.com/office/drawing/2014/main" id="{96409E55-ACA5-4148-A093-80EC8CF452FA}"/>
            </a:ext>
          </a:extLst>
        </xdr:cNvPr>
        <xdr:cNvSpPr/>
      </xdr:nvSpPr>
      <xdr:spPr>
        <a:xfrm>
          <a:off x="2548555" y="283549"/>
          <a:ext cx="11932920" cy="6546103"/>
        </a:xfrm>
        <a:prstGeom prst="roundRect">
          <a:avLst>
            <a:gd name="adj" fmla="val 4229"/>
          </a:avLst>
        </a:prstGeom>
        <a:solidFill>
          <a:srgbClr val="F0F0F0"/>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4</xdr:col>
      <xdr:colOff>39075</xdr:colOff>
      <xdr:row>1</xdr:row>
      <xdr:rowOff>89715</xdr:rowOff>
    </xdr:from>
    <xdr:to>
      <xdr:col>6</xdr:col>
      <xdr:colOff>586701</xdr:colOff>
      <xdr:row>37</xdr:row>
      <xdr:rowOff>61842</xdr:rowOff>
    </xdr:to>
    <xdr:sp macro="" textlink="">
      <xdr:nvSpPr>
        <xdr:cNvPr id="3" name="Rectangle: Top Corners Rounded 2">
          <a:extLst>
            <a:ext uri="{FF2B5EF4-FFF2-40B4-BE49-F238E27FC236}">
              <a16:creationId xmlns:a16="http://schemas.microsoft.com/office/drawing/2014/main" id="{269D2495-774F-4BBD-85E5-1577D6D55685}"/>
            </a:ext>
          </a:extLst>
        </xdr:cNvPr>
        <xdr:cNvSpPr/>
      </xdr:nvSpPr>
      <xdr:spPr>
        <a:xfrm rot="16200000">
          <a:off x="14209" y="2722965"/>
          <a:ext cx="6654281" cy="1759011"/>
        </a:xfrm>
        <a:prstGeom prst="round2SameRect">
          <a:avLst>
            <a:gd name="adj1" fmla="val 17023"/>
            <a:gd name="adj2" fmla="val 0"/>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7</xdr:col>
      <xdr:colOff>153671</xdr:colOff>
      <xdr:row>5</xdr:row>
      <xdr:rowOff>66257</xdr:rowOff>
    </xdr:from>
    <xdr:to>
      <xdr:col>23</xdr:col>
      <xdr:colOff>275591</xdr:colOff>
      <xdr:row>5</xdr:row>
      <xdr:rowOff>66257</xdr:rowOff>
    </xdr:to>
    <xdr:cxnSp macro="">
      <xdr:nvCxnSpPr>
        <xdr:cNvPr id="4" name="Straight Connector 3">
          <a:extLst>
            <a:ext uri="{FF2B5EF4-FFF2-40B4-BE49-F238E27FC236}">
              <a16:creationId xmlns:a16="http://schemas.microsoft.com/office/drawing/2014/main" id="{9E26E345-B956-4209-8367-0E39C7E54F4F}"/>
            </a:ext>
          </a:extLst>
        </xdr:cNvPr>
        <xdr:cNvCxnSpPr>
          <a:cxnSpLocks/>
        </xdr:cNvCxnSpPr>
      </xdr:nvCxnSpPr>
      <xdr:spPr>
        <a:xfrm>
          <a:off x="4420871" y="980657"/>
          <a:ext cx="9875520" cy="0"/>
        </a:xfrm>
        <a:prstGeom prst="line">
          <a:avLst/>
        </a:prstGeom>
        <a:noFill/>
        <a:ln w="12700" cap="flat" cmpd="sng" algn="ctr">
          <a:solidFill>
            <a:sysClr val="window" lastClr="FFFFFF">
              <a:lumMod val="65000"/>
            </a:sysClr>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144961</xdr:colOff>
      <xdr:row>2</xdr:row>
      <xdr:rowOff>16899</xdr:rowOff>
    </xdr:from>
    <xdr:to>
      <xdr:col>13</xdr:col>
      <xdr:colOff>432771</xdr:colOff>
      <xdr:row>4</xdr:row>
      <xdr:rowOff>13698</xdr:rowOff>
    </xdr:to>
    <xdr:sp macro="" textlink="">
      <xdr:nvSpPr>
        <xdr:cNvPr id="5" name="TextBox 27">
          <a:extLst>
            <a:ext uri="{FF2B5EF4-FFF2-40B4-BE49-F238E27FC236}">
              <a16:creationId xmlns:a16="http://schemas.microsoft.com/office/drawing/2014/main" id="{28AF5683-74D7-4ABA-8415-6698E314E353}"/>
            </a:ext>
          </a:extLst>
        </xdr:cNvPr>
        <xdr:cNvSpPr txBox="1"/>
      </xdr:nvSpPr>
      <xdr:spPr>
        <a:xfrm>
          <a:off x="4412161" y="382659"/>
          <a:ext cx="3945410" cy="362559"/>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b="1">
              <a:solidFill>
                <a:sysClr val="window" lastClr="FFFFFF">
                  <a:lumMod val="50000"/>
                </a:sysClr>
              </a:solidFill>
              <a:latin typeface="Arial" panose="020B0604020202020204" pitchFamily="34" charset="0"/>
              <a:cs typeface="Arial" panose="020B0604020202020204" pitchFamily="34" charset="0"/>
            </a:rPr>
            <a:t>In Analysis Board</a:t>
          </a:r>
        </a:p>
      </xdr:txBody>
    </xdr:sp>
    <xdr:clientData/>
  </xdr:twoCellAnchor>
  <xdr:twoCellAnchor>
    <xdr:from>
      <xdr:col>7</xdr:col>
      <xdr:colOff>178828</xdr:colOff>
      <xdr:row>3</xdr:row>
      <xdr:rowOff>104476</xdr:rowOff>
    </xdr:from>
    <xdr:to>
      <xdr:col>17</xdr:col>
      <xdr:colOff>5860</xdr:colOff>
      <xdr:row>4</xdr:row>
      <xdr:rowOff>157981</xdr:rowOff>
    </xdr:to>
    <xdr:sp macro="" textlink="">
      <xdr:nvSpPr>
        <xdr:cNvPr id="6" name="TextBox 27">
          <a:extLst>
            <a:ext uri="{FF2B5EF4-FFF2-40B4-BE49-F238E27FC236}">
              <a16:creationId xmlns:a16="http://schemas.microsoft.com/office/drawing/2014/main" id="{90FE6B3E-E89E-4BEA-837E-B48D0C090B93}"/>
            </a:ext>
          </a:extLst>
        </xdr:cNvPr>
        <xdr:cNvSpPr txBox="1"/>
      </xdr:nvSpPr>
      <xdr:spPr>
        <a:xfrm>
          <a:off x="4446028" y="653116"/>
          <a:ext cx="5923032" cy="236385"/>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050" i="0">
              <a:solidFill>
                <a:sysClr val="window" lastClr="FFFFFF">
                  <a:lumMod val="50000"/>
                </a:sysClr>
              </a:solidFill>
              <a:latin typeface="Bahnschrift Light SemiCondensed" panose="020B0502040204020203" pitchFamily="34" charset="0"/>
              <a:cs typeface="Arial" panose="020B0604020202020204" pitchFamily="34" charset="0"/>
            </a:rPr>
            <a:t>Customers SegmentationInsight: uncovering patterns</a:t>
          </a:r>
          <a:r>
            <a:rPr lang="en-US" sz="1050" i="0" baseline="0">
              <a:solidFill>
                <a:sysClr val="window" lastClr="FFFFFF">
                  <a:lumMod val="50000"/>
                </a:sysClr>
              </a:solidFill>
              <a:latin typeface="Bahnschrift Light SemiCondensed" panose="020B0502040204020203" pitchFamily="34" charset="0"/>
              <a:cs typeface="Arial" panose="020B0604020202020204" pitchFamily="34" charset="0"/>
            </a:rPr>
            <a:t> and oppourtunities.</a:t>
          </a:r>
          <a:endParaRPr lang="en-US" sz="1050" i="0">
            <a:solidFill>
              <a:sysClr val="window" lastClr="FFFFFF">
                <a:lumMod val="50000"/>
              </a:sysClr>
            </a:solidFill>
            <a:latin typeface="Bahnschrift Light SemiCondensed" panose="020B0502040204020203" pitchFamily="34" charset="0"/>
            <a:cs typeface="Arial" panose="020B0604020202020204" pitchFamily="34" charset="0"/>
          </a:endParaRPr>
        </a:p>
      </xdr:txBody>
    </xdr:sp>
    <xdr:clientData/>
  </xdr:twoCellAnchor>
  <xdr:twoCellAnchor>
    <xdr:from>
      <xdr:col>4</xdr:col>
      <xdr:colOff>164377</xdr:colOff>
      <xdr:row>7</xdr:row>
      <xdr:rowOff>111188</xdr:rowOff>
    </xdr:from>
    <xdr:to>
      <xdr:col>6</xdr:col>
      <xdr:colOff>535353</xdr:colOff>
      <xdr:row>10</xdr:row>
      <xdr:rowOff>13367</xdr:rowOff>
    </xdr:to>
    <xdr:grpSp>
      <xdr:nvGrpSpPr>
        <xdr:cNvPr id="7" name="Group 6">
          <a:extLst>
            <a:ext uri="{FF2B5EF4-FFF2-40B4-BE49-F238E27FC236}">
              <a16:creationId xmlns:a16="http://schemas.microsoft.com/office/drawing/2014/main" id="{9494A45A-2FC6-4D5B-8628-1AE3A11FC1E7}"/>
            </a:ext>
          </a:extLst>
        </xdr:cNvPr>
        <xdr:cNvGrpSpPr/>
      </xdr:nvGrpSpPr>
      <xdr:grpSpPr>
        <a:xfrm>
          <a:off x="2602777" y="1415055"/>
          <a:ext cx="1590176" cy="460979"/>
          <a:chOff x="2556709" y="1315890"/>
          <a:chExt cx="1594187" cy="448742"/>
        </a:xfrm>
      </xdr:grpSpPr>
      <xdr:sp macro="" textlink="">
        <xdr:nvSpPr>
          <xdr:cNvPr id="8" name="Rectangle: Rounded Corners 7">
            <a:extLst>
              <a:ext uri="{FF2B5EF4-FFF2-40B4-BE49-F238E27FC236}">
                <a16:creationId xmlns:a16="http://schemas.microsoft.com/office/drawing/2014/main" id="{26D61231-2B71-3DC1-B7D2-87A5ED837E73}"/>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9" name="Oval 8">
            <a:extLst>
              <a:ext uri="{FF2B5EF4-FFF2-40B4-BE49-F238E27FC236}">
                <a16:creationId xmlns:a16="http://schemas.microsoft.com/office/drawing/2014/main" id="{2F2C665E-2593-6DFF-C894-C29B2A84C44C}"/>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10" name="TextBox 50">
            <a:extLst>
              <a:ext uri="{FF2B5EF4-FFF2-40B4-BE49-F238E27FC236}">
                <a16:creationId xmlns:a16="http://schemas.microsoft.com/office/drawing/2014/main" id="{35E484F2-4091-CB09-1142-5F75B61123AC}"/>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Dataset</a:t>
            </a:r>
          </a:p>
        </xdr:txBody>
      </xdr:sp>
    </xdr:grpSp>
    <xdr:clientData/>
  </xdr:twoCellAnchor>
  <xdr:twoCellAnchor>
    <xdr:from>
      <xdr:col>4</xdr:col>
      <xdr:colOff>164377</xdr:colOff>
      <xdr:row>11</xdr:row>
      <xdr:rowOff>10295</xdr:rowOff>
    </xdr:from>
    <xdr:to>
      <xdr:col>6</xdr:col>
      <xdr:colOff>535353</xdr:colOff>
      <xdr:row>13</xdr:row>
      <xdr:rowOff>103231</xdr:rowOff>
    </xdr:to>
    <xdr:grpSp>
      <xdr:nvGrpSpPr>
        <xdr:cNvPr id="11" name="Group 10">
          <a:extLst>
            <a:ext uri="{FF2B5EF4-FFF2-40B4-BE49-F238E27FC236}">
              <a16:creationId xmlns:a16="http://schemas.microsoft.com/office/drawing/2014/main" id="{1565654B-A7DC-4A9A-9112-8EE1F3D75CA7}"/>
            </a:ext>
          </a:extLst>
        </xdr:cNvPr>
        <xdr:cNvGrpSpPr/>
      </xdr:nvGrpSpPr>
      <xdr:grpSpPr>
        <a:xfrm>
          <a:off x="2602777" y="2059228"/>
          <a:ext cx="1590176" cy="465470"/>
          <a:chOff x="2556709" y="1315890"/>
          <a:chExt cx="1594187" cy="448742"/>
        </a:xfrm>
      </xdr:grpSpPr>
      <xdr:sp macro="" textlink="">
        <xdr:nvSpPr>
          <xdr:cNvPr id="12" name="Rectangle: Rounded Corners 11">
            <a:extLst>
              <a:ext uri="{FF2B5EF4-FFF2-40B4-BE49-F238E27FC236}">
                <a16:creationId xmlns:a16="http://schemas.microsoft.com/office/drawing/2014/main" id="{F8F0B369-8979-7EE0-35EE-5A0871715694}"/>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13" name="Oval 12">
            <a:extLst>
              <a:ext uri="{FF2B5EF4-FFF2-40B4-BE49-F238E27FC236}">
                <a16:creationId xmlns:a16="http://schemas.microsoft.com/office/drawing/2014/main" id="{215C3218-4F78-EDD9-3208-5B89B997DF10}"/>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14" name="TextBox 50">
            <a:extLst>
              <a:ext uri="{FF2B5EF4-FFF2-40B4-BE49-F238E27FC236}">
                <a16:creationId xmlns:a16="http://schemas.microsoft.com/office/drawing/2014/main" id="{8123CCCE-28EA-FC40-2A0C-DF2894A375AF}"/>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Pre Analysis</a:t>
            </a:r>
          </a:p>
        </xdr:txBody>
      </xdr:sp>
    </xdr:grpSp>
    <xdr:clientData/>
  </xdr:twoCellAnchor>
  <xdr:twoCellAnchor>
    <xdr:from>
      <xdr:col>4</xdr:col>
      <xdr:colOff>164377</xdr:colOff>
      <xdr:row>14</xdr:row>
      <xdr:rowOff>100158</xdr:rowOff>
    </xdr:from>
    <xdr:to>
      <xdr:col>6</xdr:col>
      <xdr:colOff>535353</xdr:colOff>
      <xdr:row>17</xdr:row>
      <xdr:rowOff>2337</xdr:rowOff>
    </xdr:to>
    <xdr:grpSp>
      <xdr:nvGrpSpPr>
        <xdr:cNvPr id="15" name="Group 14">
          <a:extLst>
            <a:ext uri="{FF2B5EF4-FFF2-40B4-BE49-F238E27FC236}">
              <a16:creationId xmlns:a16="http://schemas.microsoft.com/office/drawing/2014/main" id="{C2E6425E-EF7B-4C97-BE68-1DB26ADD7BE2}"/>
            </a:ext>
          </a:extLst>
        </xdr:cNvPr>
        <xdr:cNvGrpSpPr/>
      </xdr:nvGrpSpPr>
      <xdr:grpSpPr>
        <a:xfrm>
          <a:off x="2602777" y="2707891"/>
          <a:ext cx="1590176" cy="460979"/>
          <a:chOff x="2556709" y="1315890"/>
          <a:chExt cx="1594187" cy="448742"/>
        </a:xfrm>
      </xdr:grpSpPr>
      <xdr:sp macro="" textlink="">
        <xdr:nvSpPr>
          <xdr:cNvPr id="16" name="Rectangle: Rounded Corners 15">
            <a:extLst>
              <a:ext uri="{FF2B5EF4-FFF2-40B4-BE49-F238E27FC236}">
                <a16:creationId xmlns:a16="http://schemas.microsoft.com/office/drawing/2014/main" id="{7EF166BD-1514-7EE9-A7DE-F3B63B4DF2AA}"/>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17" name="Oval 16">
            <a:extLst>
              <a:ext uri="{FF2B5EF4-FFF2-40B4-BE49-F238E27FC236}">
                <a16:creationId xmlns:a16="http://schemas.microsoft.com/office/drawing/2014/main" id="{87EB532F-25D7-5395-8B12-F926E37765C4}"/>
              </a:ext>
            </a:extLst>
          </xdr:cNvPr>
          <xdr:cNvSpPr/>
        </xdr:nvSpPr>
        <xdr:spPr>
          <a:xfrm>
            <a:off x="2609569" y="1355210"/>
            <a:ext cx="366948" cy="355386"/>
          </a:xfrm>
          <a:prstGeom prst="ellipse">
            <a:avLst/>
          </a:prstGeom>
          <a:solidFill>
            <a:schemeClr val="bg1"/>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18" name="TextBox 50">
            <a:extLst>
              <a:ext uri="{FF2B5EF4-FFF2-40B4-BE49-F238E27FC236}">
                <a16:creationId xmlns:a16="http://schemas.microsoft.com/office/drawing/2014/main" id="{3175E7BC-6DE6-C7EE-0548-FE5DC0422410}"/>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In Analysis</a:t>
            </a:r>
          </a:p>
        </xdr:txBody>
      </xdr:sp>
    </xdr:grpSp>
    <xdr:clientData/>
  </xdr:twoCellAnchor>
  <xdr:twoCellAnchor>
    <xdr:from>
      <xdr:col>4</xdr:col>
      <xdr:colOff>164377</xdr:colOff>
      <xdr:row>18</xdr:row>
      <xdr:rowOff>2000</xdr:rowOff>
    </xdr:from>
    <xdr:to>
      <xdr:col>6</xdr:col>
      <xdr:colOff>535353</xdr:colOff>
      <xdr:row>20</xdr:row>
      <xdr:rowOff>92201</xdr:rowOff>
    </xdr:to>
    <xdr:grpSp>
      <xdr:nvGrpSpPr>
        <xdr:cNvPr id="19" name="Group 18">
          <a:extLst>
            <a:ext uri="{FF2B5EF4-FFF2-40B4-BE49-F238E27FC236}">
              <a16:creationId xmlns:a16="http://schemas.microsoft.com/office/drawing/2014/main" id="{1C48BACB-56E6-485F-BB65-751A02FB41E3}"/>
            </a:ext>
          </a:extLst>
        </xdr:cNvPr>
        <xdr:cNvGrpSpPr/>
      </xdr:nvGrpSpPr>
      <xdr:grpSpPr>
        <a:xfrm>
          <a:off x="2602777" y="3354800"/>
          <a:ext cx="1590176" cy="462734"/>
          <a:chOff x="2556709" y="1315890"/>
          <a:chExt cx="1594187" cy="448742"/>
        </a:xfrm>
      </xdr:grpSpPr>
      <xdr:sp macro="" textlink="">
        <xdr:nvSpPr>
          <xdr:cNvPr id="20" name="Rectangle: Rounded Corners 19">
            <a:extLst>
              <a:ext uri="{FF2B5EF4-FFF2-40B4-BE49-F238E27FC236}">
                <a16:creationId xmlns:a16="http://schemas.microsoft.com/office/drawing/2014/main" id="{357297F9-1020-AD45-7561-7BEEF515A578}"/>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1" name="Oval 20">
            <a:extLst>
              <a:ext uri="{FF2B5EF4-FFF2-40B4-BE49-F238E27FC236}">
                <a16:creationId xmlns:a16="http://schemas.microsoft.com/office/drawing/2014/main" id="{B1AC8163-FF93-B78A-7415-85FA13F0BAFB}"/>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2" name="TextBox 50">
            <a:extLst>
              <a:ext uri="{FF2B5EF4-FFF2-40B4-BE49-F238E27FC236}">
                <a16:creationId xmlns:a16="http://schemas.microsoft.com/office/drawing/2014/main" id="{2462D53F-09A0-A901-8B73-7344A5A81DC7}"/>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Dashboard</a:t>
            </a:r>
          </a:p>
        </xdr:txBody>
      </xdr:sp>
    </xdr:grpSp>
    <xdr:clientData/>
  </xdr:twoCellAnchor>
  <xdr:twoCellAnchor>
    <xdr:from>
      <xdr:col>4</xdr:col>
      <xdr:colOff>164377</xdr:colOff>
      <xdr:row>21</xdr:row>
      <xdr:rowOff>89130</xdr:rowOff>
    </xdr:from>
    <xdr:to>
      <xdr:col>6</xdr:col>
      <xdr:colOff>535353</xdr:colOff>
      <xdr:row>23</xdr:row>
      <xdr:rowOff>176924</xdr:rowOff>
    </xdr:to>
    <xdr:grpSp>
      <xdr:nvGrpSpPr>
        <xdr:cNvPr id="23" name="Group 22">
          <a:extLst>
            <a:ext uri="{FF2B5EF4-FFF2-40B4-BE49-F238E27FC236}">
              <a16:creationId xmlns:a16="http://schemas.microsoft.com/office/drawing/2014/main" id="{2452DED7-FFA9-4B89-97E0-026348A58B86}"/>
            </a:ext>
          </a:extLst>
        </xdr:cNvPr>
        <xdr:cNvGrpSpPr/>
      </xdr:nvGrpSpPr>
      <xdr:grpSpPr>
        <a:xfrm>
          <a:off x="2602777" y="4000730"/>
          <a:ext cx="1590176" cy="460327"/>
          <a:chOff x="2556709" y="1315890"/>
          <a:chExt cx="1594187" cy="448742"/>
        </a:xfrm>
      </xdr:grpSpPr>
      <xdr:sp macro="" textlink="">
        <xdr:nvSpPr>
          <xdr:cNvPr id="24" name="Rectangle: Rounded Corners 23">
            <a:extLst>
              <a:ext uri="{FF2B5EF4-FFF2-40B4-BE49-F238E27FC236}">
                <a16:creationId xmlns:a16="http://schemas.microsoft.com/office/drawing/2014/main" id="{D1E31B68-007D-A1B4-B6AB-67F7A061B1D4}"/>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5" name="Oval 24">
            <a:extLst>
              <a:ext uri="{FF2B5EF4-FFF2-40B4-BE49-F238E27FC236}">
                <a16:creationId xmlns:a16="http://schemas.microsoft.com/office/drawing/2014/main" id="{AF70442F-7A5E-8830-473B-6016657FE689}"/>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6" name="TextBox 50">
            <a:extLst>
              <a:ext uri="{FF2B5EF4-FFF2-40B4-BE49-F238E27FC236}">
                <a16:creationId xmlns:a16="http://schemas.microsoft.com/office/drawing/2014/main" id="{7F3810F7-5B6F-9BCF-035C-23D04389688F}"/>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Post  Analysis</a:t>
            </a:r>
          </a:p>
        </xdr:txBody>
      </xdr:sp>
    </xdr:grpSp>
    <xdr:clientData/>
  </xdr:twoCellAnchor>
  <xdr:twoCellAnchor>
    <xdr:from>
      <xdr:col>7</xdr:col>
      <xdr:colOff>287569</xdr:colOff>
      <xdr:row>5</xdr:row>
      <xdr:rowOff>173084</xdr:rowOff>
    </xdr:from>
    <xdr:to>
      <xdr:col>13</xdr:col>
      <xdr:colOff>298044</xdr:colOff>
      <xdr:row>7</xdr:row>
      <xdr:rowOff>77549</xdr:rowOff>
    </xdr:to>
    <xdr:sp macro="" textlink="">
      <xdr:nvSpPr>
        <xdr:cNvPr id="27" name="TextBox 52">
          <a:extLst>
            <a:ext uri="{FF2B5EF4-FFF2-40B4-BE49-F238E27FC236}">
              <a16:creationId xmlns:a16="http://schemas.microsoft.com/office/drawing/2014/main" id="{5615ED8F-7615-47C8-BCA1-8DB2ABF2A83E}"/>
            </a:ext>
          </a:extLst>
        </xdr:cNvPr>
        <xdr:cNvSpPr txBox="1"/>
      </xdr:nvSpPr>
      <xdr:spPr>
        <a:xfrm>
          <a:off x="4554769" y="1087484"/>
          <a:ext cx="3668075" cy="270225"/>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200">
              <a:solidFill>
                <a:sysClr val="window" lastClr="FFFFFF">
                  <a:lumMod val="50000"/>
                </a:sysClr>
              </a:solidFill>
              <a:latin typeface="Arial" panose="020B0604020202020204" pitchFamily="34" charset="0"/>
              <a:cs typeface="Arial" panose="020B0604020202020204" pitchFamily="34" charset="0"/>
            </a:rPr>
            <a:t>Customer Wealth Profile</a:t>
          </a:r>
        </a:p>
      </xdr:txBody>
    </xdr:sp>
    <xdr:clientData/>
  </xdr:twoCellAnchor>
  <xdr:twoCellAnchor>
    <xdr:from>
      <xdr:col>7</xdr:col>
      <xdr:colOff>176555</xdr:colOff>
      <xdr:row>5</xdr:row>
      <xdr:rowOff>142829</xdr:rowOff>
    </xdr:from>
    <xdr:to>
      <xdr:col>15</xdr:col>
      <xdr:colOff>200109</xdr:colOff>
      <xdr:row>20</xdr:row>
      <xdr:rowOff>97692</xdr:rowOff>
    </xdr:to>
    <xdr:sp macro="" textlink="">
      <xdr:nvSpPr>
        <xdr:cNvPr id="28" name="Rectangle: Rounded Corners 27">
          <a:extLst>
            <a:ext uri="{FF2B5EF4-FFF2-40B4-BE49-F238E27FC236}">
              <a16:creationId xmlns:a16="http://schemas.microsoft.com/office/drawing/2014/main" id="{A5967C54-5A21-410A-97F4-E68E1D052F9E}"/>
            </a:ext>
          </a:extLst>
        </xdr:cNvPr>
        <xdr:cNvSpPr/>
      </xdr:nvSpPr>
      <xdr:spPr>
        <a:xfrm>
          <a:off x="4416401" y="1070906"/>
          <a:ext cx="4869093" cy="2739094"/>
        </a:xfrm>
        <a:prstGeom prst="roundRect">
          <a:avLst>
            <a:gd name="adj" fmla="val 8339"/>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marL="0" indent="0" algn="l" defTabSz="914400" rtl="0" eaLnBrk="1" latinLnBrk="0" hangingPunct="1"/>
          <a:r>
            <a:rPr lang="en-US" sz="1100" b="1" kern="1200">
              <a:solidFill>
                <a:srgbClr val="02403D"/>
              </a:solidFill>
              <a:latin typeface="Arial" panose="020B0604020202020204" pitchFamily="34" charset="0"/>
              <a:ea typeface="+mn-ea"/>
              <a:cs typeface="Arial" panose="020B0604020202020204" pitchFamily="34" charset="0"/>
            </a:rPr>
            <a:t>Analysis:Count of</a:t>
          </a:r>
          <a:r>
            <a:rPr lang="en-US" sz="1100" b="1" kern="1200" baseline="0">
              <a:solidFill>
                <a:srgbClr val="02403D"/>
              </a:solidFill>
              <a:latin typeface="Arial" panose="020B0604020202020204" pitchFamily="34" charset="0"/>
              <a:ea typeface="+mn-ea"/>
              <a:cs typeface="Arial" panose="020B0604020202020204" pitchFamily="34" charset="0"/>
            </a:rPr>
            <a:t> Customer by Generation</a:t>
          </a:r>
        </a:p>
        <a:p>
          <a:pPr marL="0" indent="0" algn="l" defTabSz="914400" rtl="0" eaLnBrk="1" latinLnBrk="0" hangingPunct="1"/>
          <a:endParaRPr lang="en-US" sz="1100" b="1" kern="1200" baseline="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endParaRPr lang="en-US" sz="1100" b="1" kern="1200" baseline="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b="1" kern="1200" baseline="0">
              <a:solidFill>
                <a:srgbClr val="02403D"/>
              </a:solidFill>
              <a:latin typeface="Arial" panose="020B0604020202020204" pitchFamily="34" charset="0"/>
              <a:ea typeface="+mn-ea"/>
              <a:cs typeface="Arial" panose="020B0604020202020204" pitchFamily="34" charset="0"/>
            </a:rPr>
            <a:t>Observation:</a:t>
          </a:r>
        </a:p>
        <a:p>
          <a:pPr marL="0" indent="0" algn="l" defTabSz="914400" rtl="0" eaLnBrk="1" latinLnBrk="0" hangingPunct="1"/>
          <a:r>
            <a:rPr lang="en-US" sz="1100" b="0" kern="1200" baseline="0">
              <a:solidFill>
                <a:srgbClr val="02403D"/>
              </a:solidFill>
              <a:latin typeface="Arial" panose="020B0604020202020204" pitchFamily="34" charset="0"/>
              <a:ea typeface="+mn-ea"/>
              <a:cs typeface="Arial" panose="020B0604020202020204" pitchFamily="34" charset="0"/>
            </a:rPr>
            <a:t>- Boomers are the largest generational group (126 total).</a:t>
          </a:r>
        </a:p>
        <a:p>
          <a:pPr marL="0" indent="0" algn="l" defTabSz="914400" rtl="0" eaLnBrk="1" latinLnBrk="0" hangingPunct="1"/>
          <a:endParaRPr lang="en-US" sz="1100" b="1" kern="1200" baseline="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endParaRPr lang="en-US" sz="1100" b="1" kern="1200" baseline="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b="1" kern="1200" baseline="0">
              <a:solidFill>
                <a:srgbClr val="02403D"/>
              </a:solidFill>
              <a:latin typeface="Arial" panose="020B0604020202020204" pitchFamily="34" charset="0"/>
              <a:ea typeface="+mn-ea"/>
              <a:cs typeface="Arial" panose="020B0604020202020204" pitchFamily="34" charset="0"/>
            </a:rPr>
            <a:t>Pre Insight:</a:t>
          </a:r>
        </a:p>
        <a:p>
          <a:pPr marL="0" indent="0" algn="l" defTabSz="914400" rtl="0" eaLnBrk="1" latinLnBrk="0" hangingPunct="1"/>
          <a:r>
            <a:rPr lang="en-US" sz="1100" b="0" kern="1200" baseline="0">
              <a:solidFill>
                <a:srgbClr val="02403D"/>
              </a:solidFill>
              <a:latin typeface="Arial" panose="020B0604020202020204" pitchFamily="34" charset="0"/>
              <a:ea typeface="+mn-ea"/>
              <a:cs typeface="Arial" panose="020B0604020202020204" pitchFamily="34" charset="0"/>
            </a:rPr>
            <a:t>Focus on estate planning, retirement funds, and multi-generational wealth transfer products to keep that capital within the firm.</a:t>
          </a:r>
        </a:p>
        <a:p>
          <a:pPr marL="0" indent="0" algn="l" defTabSz="914400" rtl="0" eaLnBrk="1" latinLnBrk="0" hangingPunct="1"/>
          <a:endParaRPr lang="en-US" sz="1100" b="1" kern="1200">
            <a:solidFill>
              <a:srgbClr val="02403D"/>
            </a:solidFill>
            <a:latin typeface="Arial" panose="020B0604020202020204" pitchFamily="34" charset="0"/>
            <a:ea typeface="+mn-ea"/>
            <a:cs typeface="Arial" panose="020B0604020202020204" pitchFamily="34" charset="0"/>
          </a:endParaRPr>
        </a:p>
      </xdr:txBody>
    </xdr:sp>
    <xdr:clientData/>
  </xdr:twoCellAnchor>
  <xdr:twoCellAnchor>
    <xdr:from>
      <xdr:col>15</xdr:col>
      <xdr:colOff>328136</xdr:colOff>
      <xdr:row>5</xdr:row>
      <xdr:rowOff>158459</xdr:rowOff>
    </xdr:from>
    <xdr:to>
      <xdr:col>23</xdr:col>
      <xdr:colOff>351691</xdr:colOff>
      <xdr:row>20</xdr:row>
      <xdr:rowOff>113322</xdr:rowOff>
    </xdr:to>
    <xdr:sp macro="" textlink="">
      <xdr:nvSpPr>
        <xdr:cNvPr id="29" name="Rectangle: Rounded Corners 28">
          <a:extLst>
            <a:ext uri="{FF2B5EF4-FFF2-40B4-BE49-F238E27FC236}">
              <a16:creationId xmlns:a16="http://schemas.microsoft.com/office/drawing/2014/main" id="{3A264ADE-0F7C-4534-B2E7-B5E3DA29BE64}"/>
            </a:ext>
          </a:extLst>
        </xdr:cNvPr>
        <xdr:cNvSpPr/>
      </xdr:nvSpPr>
      <xdr:spPr>
        <a:xfrm>
          <a:off x="9472136" y="1072859"/>
          <a:ext cx="4900355" cy="2698063"/>
        </a:xfrm>
        <a:prstGeom prst="roundRect">
          <a:avLst>
            <a:gd name="adj" fmla="val 8339"/>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Analysis: Count of Customer growth over the years</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Observation:</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 </a:t>
          </a:r>
          <a:r>
            <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Acquisitions dropped from 51 in 2024 to 25 in 2025.</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Pre Insight:</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 Investigate if this was due to a specific competitor entry, a marketing budget cut, or a technical issue in the onboarding process.</a:t>
          </a:r>
        </a:p>
      </xdr:txBody>
    </xdr:sp>
    <xdr:clientData/>
  </xdr:twoCellAnchor>
  <xdr:twoCellAnchor>
    <xdr:from>
      <xdr:col>7</xdr:col>
      <xdr:colOff>143339</xdr:colOff>
      <xdr:row>21</xdr:row>
      <xdr:rowOff>48846</xdr:rowOff>
    </xdr:from>
    <xdr:to>
      <xdr:col>15</xdr:col>
      <xdr:colOff>166893</xdr:colOff>
      <xdr:row>36</xdr:row>
      <xdr:rowOff>142631</xdr:rowOff>
    </xdr:to>
    <xdr:sp macro="" textlink="">
      <xdr:nvSpPr>
        <xdr:cNvPr id="32" name="Rectangle: Rounded Corners 31">
          <a:extLst>
            <a:ext uri="{FF2B5EF4-FFF2-40B4-BE49-F238E27FC236}">
              <a16:creationId xmlns:a16="http://schemas.microsoft.com/office/drawing/2014/main" id="{67EA4505-207A-4827-8A0C-8CF4F65EE63F}"/>
            </a:ext>
          </a:extLst>
        </xdr:cNvPr>
        <xdr:cNvSpPr/>
      </xdr:nvSpPr>
      <xdr:spPr>
        <a:xfrm>
          <a:off x="4410539" y="3889326"/>
          <a:ext cx="4900354" cy="2836985"/>
        </a:xfrm>
        <a:prstGeom prst="roundRect">
          <a:avLst>
            <a:gd name="adj" fmla="val 8339"/>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Analysis:Count of  Customer by Income Segment</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Observation:</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 Females outnumber males in the "High" Wealth Profile (81 vs 72)</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a:t>
          </a: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Pre Insight:</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 </a:t>
          </a:r>
          <a:r>
            <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Develop wealth management and investment seminars specifically designed for high-earning professional women</a:t>
          </a:r>
        </a:p>
      </xdr:txBody>
    </xdr:sp>
    <xdr:clientData/>
  </xdr:twoCellAnchor>
  <xdr:twoCellAnchor>
    <xdr:from>
      <xdr:col>15</xdr:col>
      <xdr:colOff>305508</xdr:colOff>
      <xdr:row>21</xdr:row>
      <xdr:rowOff>74246</xdr:rowOff>
    </xdr:from>
    <xdr:to>
      <xdr:col>23</xdr:col>
      <xdr:colOff>329063</xdr:colOff>
      <xdr:row>36</xdr:row>
      <xdr:rowOff>168031</xdr:rowOff>
    </xdr:to>
    <xdr:sp macro="" textlink="">
      <xdr:nvSpPr>
        <xdr:cNvPr id="33" name="Rectangle: Rounded Corners 32">
          <a:extLst>
            <a:ext uri="{FF2B5EF4-FFF2-40B4-BE49-F238E27FC236}">
              <a16:creationId xmlns:a16="http://schemas.microsoft.com/office/drawing/2014/main" id="{8A68C97F-65AB-44BA-8E1C-D58B9408AA9B}"/>
            </a:ext>
          </a:extLst>
        </xdr:cNvPr>
        <xdr:cNvSpPr/>
      </xdr:nvSpPr>
      <xdr:spPr>
        <a:xfrm>
          <a:off x="9449508" y="3914726"/>
          <a:ext cx="4900355" cy="2836985"/>
        </a:xfrm>
        <a:prstGeom prst="roundRect">
          <a:avLst>
            <a:gd name="adj" fmla="val 8339"/>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Analysis: Count of Customer by Professional Profile</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Observation:</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 High numbers of Teachers/Students but a high Avg. Income ($114k).</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Pre Insight:</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 </a:t>
          </a:r>
          <a:r>
            <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Students in this dataset likely represent high-specialty grad students (Medical/Law). Offer "Professional Entry" loans to capture them before they reach their peak earning years. </a:t>
          </a:r>
        </a:p>
      </xdr:txBody>
    </xdr:sp>
    <xdr:clientData/>
  </xdr:twoCellAnchor>
  <xdr:twoCellAnchor editAs="oneCell">
    <xdr:from>
      <xdr:col>4</xdr:col>
      <xdr:colOff>283308</xdr:colOff>
      <xdr:row>11</xdr:row>
      <xdr:rowOff>117232</xdr:rowOff>
    </xdr:from>
    <xdr:to>
      <xdr:col>4</xdr:col>
      <xdr:colOff>511908</xdr:colOff>
      <xdr:row>12</xdr:row>
      <xdr:rowOff>160216</xdr:rowOff>
    </xdr:to>
    <xdr:pic>
      <xdr:nvPicPr>
        <xdr:cNvPr id="36" name="Picture 35">
          <a:hlinkClick xmlns:r="http://schemas.openxmlformats.org/officeDocument/2006/relationships" r:id="rId1"/>
          <a:extLst>
            <a:ext uri="{FF2B5EF4-FFF2-40B4-BE49-F238E27FC236}">
              <a16:creationId xmlns:a16="http://schemas.microsoft.com/office/drawing/2014/main" id="{849F83BC-4C34-43B6-9819-5DCDA245D5C4}"/>
            </a:ext>
          </a:extLst>
        </xdr:cNvPr>
        <xdr:cNvPicPr>
          <a:picLocks noChangeAspect="1"/>
        </xdr:cNvPicPr>
      </xdr:nvPicPr>
      <xdr:blipFill>
        <a:blip xmlns:r="http://schemas.openxmlformats.org/officeDocument/2006/relationships" r:embed="rId2" cstate="print">
          <a:duotone>
            <a:prstClr val="black"/>
            <a:schemeClr val="tx2">
              <a:tint val="45000"/>
              <a:satMod val="400000"/>
            </a:schemeClr>
          </a:duotone>
          <a:extLst>
            <a:ext uri="{BEBA8EAE-BF5A-486C-A8C5-ECC9F3942E4B}">
              <a14:imgProps xmlns:a14="http://schemas.microsoft.com/office/drawing/2010/main">
                <a14:imgLayer r:embed="rId3">
                  <a14:imgEffect>
                    <a14:sharpenSoften amount="50000"/>
                  </a14:imgEffect>
                </a14:imgLayer>
              </a14:imgProps>
            </a:ext>
            <a:ext uri="{28A0092B-C50C-407E-A947-70E740481C1C}">
              <a14:useLocalDpi xmlns:a14="http://schemas.microsoft.com/office/drawing/2010/main" val="0"/>
            </a:ext>
          </a:extLst>
        </a:blip>
        <a:stretch>
          <a:fillRect/>
        </a:stretch>
      </xdr:blipFill>
      <xdr:spPr>
        <a:xfrm>
          <a:off x="2721708" y="2128912"/>
          <a:ext cx="228600" cy="225864"/>
        </a:xfrm>
        <a:prstGeom prst="rect">
          <a:avLst/>
        </a:prstGeom>
      </xdr:spPr>
    </xdr:pic>
    <xdr:clientData/>
  </xdr:twoCellAnchor>
  <xdr:twoCellAnchor editAs="oneCell">
    <xdr:from>
      <xdr:col>4</xdr:col>
      <xdr:colOff>267231</xdr:colOff>
      <xdr:row>18</xdr:row>
      <xdr:rowOff>110924</xdr:rowOff>
    </xdr:from>
    <xdr:to>
      <xdr:col>4</xdr:col>
      <xdr:colOff>495831</xdr:colOff>
      <xdr:row>19</xdr:row>
      <xdr:rowOff>153909</xdr:rowOff>
    </xdr:to>
    <xdr:pic>
      <xdr:nvPicPr>
        <xdr:cNvPr id="37" name="Picture 36">
          <a:hlinkClick xmlns:r="http://schemas.openxmlformats.org/officeDocument/2006/relationships" r:id="rId4"/>
          <a:extLst>
            <a:ext uri="{FF2B5EF4-FFF2-40B4-BE49-F238E27FC236}">
              <a16:creationId xmlns:a16="http://schemas.microsoft.com/office/drawing/2014/main" id="{A0272BEE-CD6D-4B7B-8551-DD985BBC47F5}"/>
            </a:ext>
          </a:extLst>
        </xdr:cNvPr>
        <xdr:cNvPicPr>
          <a:picLocks noChangeAspect="1"/>
        </xdr:cNvPicPr>
      </xdr:nvPicPr>
      <xdr:blipFill>
        <a:blip xmlns:r="http://schemas.openxmlformats.org/officeDocument/2006/relationships" r:embed="rId5" cstate="print">
          <a:duotone>
            <a:prstClr val="black"/>
            <a:srgbClr val="134E4C">
              <a:tint val="45000"/>
              <a:satMod val="400000"/>
            </a:srgbClr>
          </a:duotone>
          <a:extLst>
            <a:ext uri="{BEBA8EAE-BF5A-486C-A8C5-ECC9F3942E4B}">
              <a14:imgProps xmlns:a14="http://schemas.microsoft.com/office/drawing/2010/main">
                <a14:imgLayer r:embed="rId6">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2705631" y="3402764"/>
          <a:ext cx="228600" cy="225865"/>
        </a:xfrm>
        <a:prstGeom prst="rect">
          <a:avLst/>
        </a:prstGeom>
      </xdr:spPr>
    </xdr:pic>
    <xdr:clientData/>
  </xdr:twoCellAnchor>
  <xdr:twoCellAnchor editAs="oneCell">
    <xdr:from>
      <xdr:col>4</xdr:col>
      <xdr:colOff>270694</xdr:colOff>
      <xdr:row>15</xdr:row>
      <xdr:rowOff>26463</xdr:rowOff>
    </xdr:from>
    <xdr:to>
      <xdr:col>4</xdr:col>
      <xdr:colOff>499294</xdr:colOff>
      <xdr:row>16</xdr:row>
      <xdr:rowOff>69448</xdr:rowOff>
    </xdr:to>
    <xdr:pic>
      <xdr:nvPicPr>
        <xdr:cNvPr id="38" name="Picture 37">
          <a:hlinkClick xmlns:r="http://schemas.openxmlformats.org/officeDocument/2006/relationships" r:id="rId7"/>
          <a:extLst>
            <a:ext uri="{FF2B5EF4-FFF2-40B4-BE49-F238E27FC236}">
              <a16:creationId xmlns:a16="http://schemas.microsoft.com/office/drawing/2014/main" id="{52FB3520-4E5C-4A1E-A985-3DEEB6A70F1C}"/>
            </a:ext>
          </a:extLst>
        </xdr:cNvPr>
        <xdr:cNvPicPr>
          <a:picLocks noChangeAspect="1"/>
        </xdr:cNvPicPr>
      </xdr:nvPicPr>
      <xdr:blipFill>
        <a:blip xmlns:r="http://schemas.openxmlformats.org/officeDocument/2006/relationships" r:embed="rId8" cstate="print">
          <a:duotone>
            <a:prstClr val="black"/>
            <a:srgbClr val="134E4C">
              <a:tint val="45000"/>
              <a:satMod val="400000"/>
            </a:srgbClr>
          </a:duotone>
          <a:extLst>
            <a:ext uri="{28A0092B-C50C-407E-A947-70E740481C1C}">
              <a14:useLocalDpi xmlns:a14="http://schemas.microsoft.com/office/drawing/2010/main" val="0"/>
            </a:ext>
          </a:extLst>
        </a:blip>
        <a:stretch>
          <a:fillRect/>
        </a:stretch>
      </xdr:blipFill>
      <xdr:spPr>
        <a:xfrm>
          <a:off x="2709094" y="2769663"/>
          <a:ext cx="228600" cy="225865"/>
        </a:xfrm>
        <a:prstGeom prst="rect">
          <a:avLst/>
        </a:prstGeom>
      </xdr:spPr>
    </xdr:pic>
    <xdr:clientData/>
  </xdr:twoCellAnchor>
  <xdr:twoCellAnchor editAs="oneCell">
    <xdr:from>
      <xdr:col>4</xdr:col>
      <xdr:colOff>293077</xdr:colOff>
      <xdr:row>8</xdr:row>
      <xdr:rowOff>29307</xdr:rowOff>
    </xdr:from>
    <xdr:to>
      <xdr:col>4</xdr:col>
      <xdr:colOff>492469</xdr:colOff>
      <xdr:row>9</xdr:row>
      <xdr:rowOff>72292</xdr:rowOff>
    </xdr:to>
    <xdr:pic>
      <xdr:nvPicPr>
        <xdr:cNvPr id="39" name="Picture 38">
          <a:extLst>
            <a:ext uri="{FF2B5EF4-FFF2-40B4-BE49-F238E27FC236}">
              <a16:creationId xmlns:a16="http://schemas.microsoft.com/office/drawing/2014/main" id="{74231884-87D1-4CDC-9CF9-1BA2D8CC085E}"/>
            </a:ext>
          </a:extLst>
        </xdr:cNvPr>
        <xdr:cNvPicPr>
          <a:picLocks noChangeAspect="1"/>
        </xdr:cNvPicPr>
      </xdr:nvPicPr>
      <xdr:blipFill>
        <a:blip xmlns:r="http://schemas.openxmlformats.org/officeDocument/2006/relationships" r:embed="rId9" cstate="print">
          <a:duotone>
            <a:schemeClr val="bg2">
              <a:shade val="45000"/>
              <a:satMod val="135000"/>
            </a:schemeClr>
            <a:prstClr val="white"/>
          </a:duotone>
          <a:alphaModFix/>
          <a:extLst>
            <a:ext uri="{BEBA8EAE-BF5A-486C-A8C5-ECC9F3942E4B}">
              <a14:imgProps xmlns:a14="http://schemas.microsoft.com/office/drawing/2010/main">
                <a14:imgLayer r:embed="rId10">
                  <a14:imgEffect>
                    <a14:artisticCrisscrossEtching/>
                  </a14:imgEffect>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2731477" y="1492347"/>
          <a:ext cx="199392" cy="225865"/>
        </a:xfrm>
        <a:prstGeom prst="rect">
          <a:avLst/>
        </a:prstGeom>
      </xdr:spPr>
    </xdr:pic>
    <xdr:clientData/>
  </xdr:twoCellAnchor>
  <xdr:twoCellAnchor editAs="oneCell">
    <xdr:from>
      <xdr:col>4</xdr:col>
      <xdr:colOff>285151</xdr:colOff>
      <xdr:row>22</xdr:row>
      <xdr:rowOff>1847</xdr:rowOff>
    </xdr:from>
    <xdr:to>
      <xdr:col>4</xdr:col>
      <xdr:colOff>513751</xdr:colOff>
      <xdr:row>23</xdr:row>
      <xdr:rowOff>44831</xdr:rowOff>
    </xdr:to>
    <xdr:pic>
      <xdr:nvPicPr>
        <xdr:cNvPr id="43" name="Picture 42">
          <a:extLst>
            <a:ext uri="{FF2B5EF4-FFF2-40B4-BE49-F238E27FC236}">
              <a16:creationId xmlns:a16="http://schemas.microsoft.com/office/drawing/2014/main" id="{7651EEE2-DB20-4576-B86E-20B18F8828AF}"/>
            </a:ext>
          </a:extLst>
        </xdr:cNvPr>
        <xdr:cNvPicPr>
          <a:picLocks noChangeAspect="1"/>
        </xdr:cNvPicPr>
      </xdr:nvPicPr>
      <xdr:blipFill>
        <a:blip xmlns:r="http://schemas.openxmlformats.org/officeDocument/2006/relationships" r:embed="rId11" cstate="print">
          <a:duotone>
            <a:schemeClr val="bg2">
              <a:shade val="45000"/>
              <a:satMod val="135000"/>
            </a:schemeClr>
            <a:prstClr val="white"/>
          </a:duotone>
          <a:alphaModFix/>
          <a:extLst>
            <a:ext uri="{BEBA8EAE-BF5A-486C-A8C5-ECC9F3942E4B}">
              <a14:imgProps xmlns:a14="http://schemas.microsoft.com/office/drawing/2010/main">
                <a14:imgLayer r:embed="rId12">
                  <a14:imgEffect>
                    <a14:sharpenSoften amount="50000"/>
                  </a14:imgEffect>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2723551" y="4025207"/>
          <a:ext cx="228600" cy="225864"/>
        </a:xfrm>
        <a:prstGeom prst="rect">
          <a:avLst/>
        </a:prstGeom>
      </xdr:spPr>
    </xdr:pic>
    <xdr:clientData/>
  </xdr:twoCellAnchor>
  <xdr:twoCellAnchor editAs="oneCell">
    <xdr:from>
      <xdr:col>4</xdr:col>
      <xdr:colOff>164377</xdr:colOff>
      <xdr:row>1</xdr:row>
      <xdr:rowOff>24957</xdr:rowOff>
    </xdr:from>
    <xdr:to>
      <xdr:col>6</xdr:col>
      <xdr:colOff>490948</xdr:colOff>
      <xdr:row>6</xdr:row>
      <xdr:rowOff>125382</xdr:rowOff>
    </xdr:to>
    <xdr:pic>
      <xdr:nvPicPr>
        <xdr:cNvPr id="31" name="Picture 30">
          <a:extLst>
            <a:ext uri="{FF2B5EF4-FFF2-40B4-BE49-F238E27FC236}">
              <a16:creationId xmlns:a16="http://schemas.microsoft.com/office/drawing/2014/main" id="{7F9C01F8-F835-43F9-A97B-CBC90FDCED65}"/>
            </a:ext>
          </a:extLst>
        </xdr:cNvPr>
        <xdr:cNvPicPr>
          <a:picLocks noChangeAspect="1"/>
        </xdr:cNvPicPr>
      </xdr:nvPicPr>
      <xdr:blipFill>
        <a:blip xmlns:r="http://schemas.openxmlformats.org/officeDocument/2006/relationships" r:embed="rId13" cstate="print">
          <a:duotone>
            <a:prstClr val="black"/>
            <a:srgbClr val="02403D">
              <a:tint val="45000"/>
              <a:satMod val="400000"/>
            </a:srgbClr>
          </a:duotone>
          <a:extLst>
            <a:ext uri="{28A0092B-C50C-407E-A947-70E740481C1C}">
              <a14:useLocalDpi xmlns:a14="http://schemas.microsoft.com/office/drawing/2010/main" val="0"/>
            </a:ext>
          </a:extLst>
        </a:blip>
        <a:stretch>
          <a:fillRect/>
        </a:stretch>
      </xdr:blipFill>
      <xdr:spPr>
        <a:xfrm>
          <a:off x="2602777" y="210014"/>
          <a:ext cx="1545771" cy="10257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110155</xdr:colOff>
      <xdr:row>1</xdr:row>
      <xdr:rowOff>100669</xdr:rowOff>
    </xdr:from>
    <xdr:to>
      <xdr:col>23</xdr:col>
      <xdr:colOff>460675</xdr:colOff>
      <xdr:row>37</xdr:row>
      <xdr:rowOff>63092</xdr:rowOff>
    </xdr:to>
    <xdr:sp macro="" textlink="">
      <xdr:nvSpPr>
        <xdr:cNvPr id="243" name="Rectangle: Rounded Corners 242">
          <a:extLst>
            <a:ext uri="{FF2B5EF4-FFF2-40B4-BE49-F238E27FC236}">
              <a16:creationId xmlns:a16="http://schemas.microsoft.com/office/drawing/2014/main" id="{2A8CE96E-AD7A-0ED3-8883-9963B1D2200B}"/>
            </a:ext>
          </a:extLst>
        </xdr:cNvPr>
        <xdr:cNvSpPr/>
      </xdr:nvSpPr>
      <xdr:spPr>
        <a:xfrm>
          <a:off x="2532924" y="286284"/>
          <a:ext cx="11858674" cy="6644577"/>
        </a:xfrm>
        <a:prstGeom prst="roundRect">
          <a:avLst>
            <a:gd name="adj" fmla="val 4229"/>
          </a:avLst>
        </a:prstGeom>
        <a:solidFill>
          <a:srgbClr val="F0F0F0"/>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4</xdr:col>
      <xdr:colOff>78152</xdr:colOff>
      <xdr:row>1</xdr:row>
      <xdr:rowOff>112297</xdr:rowOff>
    </xdr:from>
    <xdr:to>
      <xdr:col>7</xdr:col>
      <xdr:colOff>20086</xdr:colOff>
      <xdr:row>37</xdr:row>
      <xdr:rowOff>61842</xdr:rowOff>
    </xdr:to>
    <xdr:sp macro="" textlink="">
      <xdr:nvSpPr>
        <xdr:cNvPr id="244" name="Rectangle: Top Corners Rounded 243">
          <a:extLst>
            <a:ext uri="{FF2B5EF4-FFF2-40B4-BE49-F238E27FC236}">
              <a16:creationId xmlns:a16="http://schemas.microsoft.com/office/drawing/2014/main" id="{E8522738-6CB6-9B5F-2111-8C7E477301F3}"/>
            </a:ext>
          </a:extLst>
        </xdr:cNvPr>
        <xdr:cNvSpPr/>
      </xdr:nvSpPr>
      <xdr:spPr>
        <a:xfrm rot="16200000">
          <a:off x="106430" y="2706903"/>
          <a:ext cx="6590977" cy="1770734"/>
        </a:xfrm>
        <a:prstGeom prst="round2SameRect">
          <a:avLst>
            <a:gd name="adj1" fmla="val 17023"/>
            <a:gd name="adj2" fmla="val 0"/>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7</xdr:col>
      <xdr:colOff>124363</xdr:colOff>
      <xdr:row>5</xdr:row>
      <xdr:rowOff>27181</xdr:rowOff>
    </xdr:from>
    <xdr:to>
      <xdr:col>23</xdr:col>
      <xdr:colOff>246283</xdr:colOff>
      <xdr:row>5</xdr:row>
      <xdr:rowOff>27181</xdr:rowOff>
    </xdr:to>
    <xdr:cxnSp macro="">
      <xdr:nvCxnSpPr>
        <xdr:cNvPr id="245" name="Straight Connector 244">
          <a:extLst>
            <a:ext uri="{FF2B5EF4-FFF2-40B4-BE49-F238E27FC236}">
              <a16:creationId xmlns:a16="http://schemas.microsoft.com/office/drawing/2014/main" id="{080B088B-1664-517B-FCDB-9C79FDEDB85C}"/>
            </a:ext>
          </a:extLst>
        </xdr:cNvPr>
        <xdr:cNvCxnSpPr>
          <a:cxnSpLocks/>
        </xdr:cNvCxnSpPr>
      </xdr:nvCxnSpPr>
      <xdr:spPr>
        <a:xfrm>
          <a:off x="4364209" y="955258"/>
          <a:ext cx="9812997" cy="0"/>
        </a:xfrm>
        <a:prstGeom prst="line">
          <a:avLst/>
        </a:prstGeom>
        <a:noFill/>
        <a:ln w="12700" cap="flat" cmpd="sng" algn="ctr">
          <a:solidFill>
            <a:sysClr val="window" lastClr="FFFFFF">
              <a:lumMod val="65000"/>
            </a:sysClr>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153670</xdr:colOff>
      <xdr:row>14</xdr:row>
      <xdr:rowOff>123291</xdr:rowOff>
    </xdr:from>
    <xdr:to>
      <xdr:col>12</xdr:col>
      <xdr:colOff>354075</xdr:colOff>
      <xdr:row>23</xdr:row>
      <xdr:rowOff>173182</xdr:rowOff>
    </xdr:to>
    <xdr:sp macro="" textlink="">
      <xdr:nvSpPr>
        <xdr:cNvPr id="251" name="Rectangle: Rounded Corners 250">
          <a:extLst>
            <a:ext uri="{FF2B5EF4-FFF2-40B4-BE49-F238E27FC236}">
              <a16:creationId xmlns:a16="http://schemas.microsoft.com/office/drawing/2014/main" id="{18443BE1-70DB-9A34-E974-5B78D7B1750B}"/>
            </a:ext>
          </a:extLst>
        </xdr:cNvPr>
        <xdr:cNvSpPr/>
      </xdr:nvSpPr>
      <xdr:spPr>
        <a:xfrm>
          <a:off x="4393516" y="2721906"/>
          <a:ext cx="3228867" cy="1720430"/>
        </a:xfrm>
        <a:prstGeom prst="roundRect">
          <a:avLst>
            <a:gd name="adj" fmla="val 8072"/>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12</xdr:col>
      <xdr:colOff>469633</xdr:colOff>
      <xdr:row>14</xdr:row>
      <xdr:rowOff>123291</xdr:rowOff>
    </xdr:from>
    <xdr:to>
      <xdr:col>17</xdr:col>
      <xdr:colOff>502676</xdr:colOff>
      <xdr:row>23</xdr:row>
      <xdr:rowOff>173182</xdr:rowOff>
    </xdr:to>
    <xdr:sp macro="" textlink="">
      <xdr:nvSpPr>
        <xdr:cNvPr id="252" name="Rectangle: Rounded Corners 251">
          <a:extLst>
            <a:ext uri="{FF2B5EF4-FFF2-40B4-BE49-F238E27FC236}">
              <a16:creationId xmlns:a16="http://schemas.microsoft.com/office/drawing/2014/main" id="{81CC47C7-361B-3C27-962B-79A1B9F3DB0B}"/>
            </a:ext>
          </a:extLst>
        </xdr:cNvPr>
        <xdr:cNvSpPr/>
      </xdr:nvSpPr>
      <xdr:spPr>
        <a:xfrm>
          <a:off x="7737941" y="2721906"/>
          <a:ext cx="3061504" cy="1720430"/>
        </a:xfrm>
        <a:prstGeom prst="roundRect">
          <a:avLst>
            <a:gd name="adj" fmla="val 8339"/>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18</xdr:col>
      <xdr:colOff>12542</xdr:colOff>
      <xdr:row>14</xdr:row>
      <xdr:rowOff>123291</xdr:rowOff>
    </xdr:from>
    <xdr:to>
      <xdr:col>23</xdr:col>
      <xdr:colOff>275591</xdr:colOff>
      <xdr:row>23</xdr:row>
      <xdr:rowOff>173182</xdr:rowOff>
    </xdr:to>
    <xdr:sp macro="" textlink="">
      <xdr:nvSpPr>
        <xdr:cNvPr id="253" name="Rectangle: Rounded Corners 252">
          <a:extLst>
            <a:ext uri="{FF2B5EF4-FFF2-40B4-BE49-F238E27FC236}">
              <a16:creationId xmlns:a16="http://schemas.microsoft.com/office/drawing/2014/main" id="{6835EFF7-A068-F836-8390-4E48CB8894D6}"/>
            </a:ext>
          </a:extLst>
        </xdr:cNvPr>
        <xdr:cNvSpPr/>
      </xdr:nvSpPr>
      <xdr:spPr>
        <a:xfrm>
          <a:off x="10915004" y="2721906"/>
          <a:ext cx="3291510" cy="1720430"/>
        </a:xfrm>
        <a:prstGeom prst="roundRect">
          <a:avLst>
            <a:gd name="adj" fmla="val 5397"/>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7</xdr:col>
      <xdr:colOff>153670</xdr:colOff>
      <xdr:row>24</xdr:row>
      <xdr:rowOff>75819</xdr:rowOff>
    </xdr:from>
    <xdr:to>
      <xdr:col>14</xdr:col>
      <xdr:colOff>257766</xdr:colOff>
      <xdr:row>36</xdr:row>
      <xdr:rowOff>92481</xdr:rowOff>
    </xdr:to>
    <xdr:sp macro="" textlink="">
      <xdr:nvSpPr>
        <xdr:cNvPr id="254" name="Rectangle: Rounded Corners 253">
          <a:extLst>
            <a:ext uri="{FF2B5EF4-FFF2-40B4-BE49-F238E27FC236}">
              <a16:creationId xmlns:a16="http://schemas.microsoft.com/office/drawing/2014/main" id="{12DA6B67-1AE0-2E84-3D08-BD99A015CA38}"/>
            </a:ext>
          </a:extLst>
        </xdr:cNvPr>
        <xdr:cNvSpPr/>
      </xdr:nvSpPr>
      <xdr:spPr>
        <a:xfrm>
          <a:off x="4393516" y="4530588"/>
          <a:ext cx="4343942" cy="2244047"/>
        </a:xfrm>
        <a:prstGeom prst="roundRect">
          <a:avLst>
            <a:gd name="adj" fmla="val 5817"/>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14</xdr:col>
      <xdr:colOff>380506</xdr:colOff>
      <xdr:row>24</xdr:row>
      <xdr:rowOff>75819</xdr:rowOff>
    </xdr:from>
    <xdr:to>
      <xdr:col>23</xdr:col>
      <xdr:colOff>305670</xdr:colOff>
      <xdr:row>36</xdr:row>
      <xdr:rowOff>100947</xdr:rowOff>
    </xdr:to>
    <xdr:sp macro="" textlink="">
      <xdr:nvSpPr>
        <xdr:cNvPr id="255" name="Rectangle: Rounded Corners 254">
          <a:extLst>
            <a:ext uri="{FF2B5EF4-FFF2-40B4-BE49-F238E27FC236}">
              <a16:creationId xmlns:a16="http://schemas.microsoft.com/office/drawing/2014/main" id="{E2D86B61-A016-1A78-51BF-02DA87E075B9}"/>
            </a:ext>
          </a:extLst>
        </xdr:cNvPr>
        <xdr:cNvSpPr/>
      </xdr:nvSpPr>
      <xdr:spPr>
        <a:xfrm>
          <a:off x="8860198" y="4530588"/>
          <a:ext cx="5376395" cy="2252513"/>
        </a:xfrm>
        <a:prstGeom prst="roundRect">
          <a:avLst>
            <a:gd name="adj" fmla="val 4930"/>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7</xdr:col>
      <xdr:colOff>144961</xdr:colOff>
      <xdr:row>2</xdr:row>
      <xdr:rowOff>16899</xdr:rowOff>
    </xdr:from>
    <xdr:to>
      <xdr:col>23</xdr:col>
      <xdr:colOff>220133</xdr:colOff>
      <xdr:row>4</xdr:row>
      <xdr:rowOff>13698</xdr:rowOff>
    </xdr:to>
    <xdr:sp macro="" textlink="">
      <xdr:nvSpPr>
        <xdr:cNvPr id="260" name="TextBox 27">
          <a:extLst>
            <a:ext uri="{FF2B5EF4-FFF2-40B4-BE49-F238E27FC236}">
              <a16:creationId xmlns:a16="http://schemas.microsoft.com/office/drawing/2014/main" id="{4570DC42-D8B3-981E-5149-006672BE2652}"/>
            </a:ext>
          </a:extLst>
        </xdr:cNvPr>
        <xdr:cNvSpPr txBox="1"/>
      </xdr:nvSpPr>
      <xdr:spPr>
        <a:xfrm>
          <a:off x="4412161" y="389432"/>
          <a:ext cx="9828772" cy="369333"/>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b="1">
              <a:solidFill>
                <a:sysClr val="window" lastClr="FFFFFF">
                  <a:lumMod val="50000"/>
                </a:sysClr>
              </a:solidFill>
              <a:latin typeface="Arial" panose="020B0604020202020204" pitchFamily="34" charset="0"/>
              <a:cs typeface="Arial" panose="020B0604020202020204" pitchFamily="34" charset="0"/>
            </a:rPr>
            <a:t>TD Bank Customer Segmentation Dashboard </a:t>
          </a:r>
        </a:p>
      </xdr:txBody>
    </xdr:sp>
    <xdr:clientData/>
  </xdr:twoCellAnchor>
  <xdr:twoCellAnchor>
    <xdr:from>
      <xdr:col>7</xdr:col>
      <xdr:colOff>159128</xdr:colOff>
      <xdr:row>14</xdr:row>
      <xdr:rowOff>134126</xdr:rowOff>
    </xdr:from>
    <xdr:to>
      <xdr:col>11</xdr:col>
      <xdr:colOff>218984</xdr:colOff>
      <xdr:row>16</xdr:row>
      <xdr:rowOff>39588</xdr:rowOff>
    </xdr:to>
    <xdr:sp macro="" textlink="">
      <xdr:nvSpPr>
        <xdr:cNvPr id="266" name="TextBox 48">
          <a:extLst>
            <a:ext uri="{FF2B5EF4-FFF2-40B4-BE49-F238E27FC236}">
              <a16:creationId xmlns:a16="http://schemas.microsoft.com/office/drawing/2014/main" id="{E891F4DF-BF63-F1CB-9338-B3D40A647562}"/>
            </a:ext>
          </a:extLst>
        </xdr:cNvPr>
        <xdr:cNvSpPr txBox="1"/>
      </xdr:nvSpPr>
      <xdr:spPr>
        <a:xfrm>
          <a:off x="4398974" y="2732741"/>
          <a:ext cx="2482625" cy="276693"/>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200">
              <a:solidFill>
                <a:sysClr val="window" lastClr="FFFFFF">
                  <a:lumMod val="50000"/>
                </a:sysClr>
              </a:solidFill>
              <a:latin typeface="Arial" panose="020B0604020202020204" pitchFamily="34" charset="0"/>
              <a:cs typeface="Arial" panose="020B0604020202020204" pitchFamily="34" charset="0"/>
            </a:rPr>
            <a:t>Customer by</a:t>
          </a:r>
          <a:r>
            <a:rPr lang="en-US" sz="1200" baseline="0">
              <a:solidFill>
                <a:sysClr val="window" lastClr="FFFFFF">
                  <a:lumMod val="50000"/>
                </a:sysClr>
              </a:solidFill>
              <a:latin typeface="Arial" panose="020B0604020202020204" pitchFamily="34" charset="0"/>
              <a:cs typeface="Arial" panose="020B0604020202020204" pitchFamily="34" charset="0"/>
            </a:rPr>
            <a:t> Gener</a:t>
          </a:r>
          <a:r>
            <a:rPr lang="en-US" sz="1200">
              <a:solidFill>
                <a:sysClr val="window" lastClr="FFFFFF">
                  <a:lumMod val="50000"/>
                </a:sysClr>
              </a:solidFill>
              <a:latin typeface="Arial" panose="020B0604020202020204" pitchFamily="34" charset="0"/>
              <a:cs typeface="Arial" panose="020B0604020202020204" pitchFamily="34" charset="0"/>
            </a:rPr>
            <a:t>ation</a:t>
          </a:r>
        </a:p>
      </xdr:txBody>
    </xdr:sp>
    <xdr:clientData/>
  </xdr:twoCellAnchor>
  <xdr:twoCellAnchor>
    <xdr:from>
      <xdr:col>12</xdr:col>
      <xdr:colOff>469633</xdr:colOff>
      <xdr:row>14</xdr:row>
      <xdr:rowOff>160053</xdr:rowOff>
    </xdr:from>
    <xdr:to>
      <xdr:col>16</xdr:col>
      <xdr:colOff>529489</xdr:colOff>
      <xdr:row>16</xdr:row>
      <xdr:rowOff>64518</xdr:rowOff>
    </xdr:to>
    <xdr:sp macro="" textlink="">
      <xdr:nvSpPr>
        <xdr:cNvPr id="267" name="TextBox 49">
          <a:extLst>
            <a:ext uri="{FF2B5EF4-FFF2-40B4-BE49-F238E27FC236}">
              <a16:creationId xmlns:a16="http://schemas.microsoft.com/office/drawing/2014/main" id="{20BD907E-D4F0-909F-6EB5-6E014CE948B7}"/>
            </a:ext>
          </a:extLst>
        </xdr:cNvPr>
        <xdr:cNvSpPr txBox="1"/>
      </xdr:nvSpPr>
      <xdr:spPr>
        <a:xfrm>
          <a:off x="7737941" y="2758668"/>
          <a:ext cx="2482625" cy="275696"/>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200">
              <a:solidFill>
                <a:sysClr val="window" lastClr="FFFFFF">
                  <a:lumMod val="50000"/>
                </a:sysClr>
              </a:solidFill>
              <a:latin typeface="Arial" panose="020B0604020202020204" pitchFamily="34" charset="0"/>
              <a:cs typeface="Arial" panose="020B0604020202020204" pitchFamily="34" charset="0"/>
            </a:rPr>
            <a:t>Customer Loyalty Segmentation</a:t>
          </a:r>
        </a:p>
      </xdr:txBody>
    </xdr:sp>
    <xdr:clientData/>
  </xdr:twoCellAnchor>
  <xdr:twoCellAnchor>
    <xdr:from>
      <xdr:col>7</xdr:col>
      <xdr:colOff>159128</xdr:colOff>
      <xdr:row>24</xdr:row>
      <xdr:rowOff>89957</xdr:rowOff>
    </xdr:from>
    <xdr:to>
      <xdr:col>11</xdr:col>
      <xdr:colOff>218984</xdr:colOff>
      <xdr:row>25</xdr:row>
      <xdr:rowOff>178642</xdr:rowOff>
    </xdr:to>
    <xdr:sp macro="" textlink="">
      <xdr:nvSpPr>
        <xdr:cNvPr id="268" name="TextBox 50">
          <a:extLst>
            <a:ext uri="{FF2B5EF4-FFF2-40B4-BE49-F238E27FC236}">
              <a16:creationId xmlns:a16="http://schemas.microsoft.com/office/drawing/2014/main" id="{E59E7220-9EAC-4962-B3CF-7BAB3DDD960A}"/>
            </a:ext>
          </a:extLst>
        </xdr:cNvPr>
        <xdr:cNvSpPr txBox="1"/>
      </xdr:nvSpPr>
      <xdr:spPr>
        <a:xfrm>
          <a:off x="4398974" y="4544726"/>
          <a:ext cx="2482625" cy="274301"/>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200">
              <a:solidFill>
                <a:sysClr val="window" lastClr="FFFFFF">
                  <a:lumMod val="50000"/>
                </a:sysClr>
              </a:solidFill>
              <a:latin typeface="Arial" panose="020B0604020202020204" pitchFamily="34" charset="0"/>
              <a:cs typeface="Arial" panose="020B0604020202020204" pitchFamily="34" charset="0"/>
            </a:rPr>
            <a:t>Customer Growth Timeline</a:t>
          </a:r>
        </a:p>
      </xdr:txBody>
    </xdr:sp>
    <xdr:clientData/>
  </xdr:twoCellAnchor>
  <xdr:twoCellAnchor>
    <xdr:from>
      <xdr:col>14</xdr:col>
      <xdr:colOff>350426</xdr:colOff>
      <xdr:row>24</xdr:row>
      <xdr:rowOff>89957</xdr:rowOff>
    </xdr:from>
    <xdr:to>
      <xdr:col>20</xdr:col>
      <xdr:colOff>360901</xdr:colOff>
      <xdr:row>25</xdr:row>
      <xdr:rowOff>178642</xdr:rowOff>
    </xdr:to>
    <xdr:sp macro="" textlink="">
      <xdr:nvSpPr>
        <xdr:cNvPr id="269" name="TextBox 51">
          <a:extLst>
            <a:ext uri="{FF2B5EF4-FFF2-40B4-BE49-F238E27FC236}">
              <a16:creationId xmlns:a16="http://schemas.microsoft.com/office/drawing/2014/main" id="{538B1280-7F0E-B6EF-491C-CAC4FBDE020C}"/>
            </a:ext>
          </a:extLst>
        </xdr:cNvPr>
        <xdr:cNvSpPr txBox="1"/>
      </xdr:nvSpPr>
      <xdr:spPr>
        <a:xfrm>
          <a:off x="8830118" y="4544726"/>
          <a:ext cx="3644629" cy="274301"/>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200">
              <a:solidFill>
                <a:sysClr val="window" lastClr="FFFFFF">
                  <a:lumMod val="50000"/>
                </a:sysClr>
              </a:solidFill>
              <a:latin typeface="Arial" panose="020B0604020202020204" pitchFamily="34" charset="0"/>
              <a:cs typeface="Arial" panose="020B0604020202020204" pitchFamily="34" charset="0"/>
            </a:rPr>
            <a:t>Professional Profile of Our Customer Base</a:t>
          </a:r>
        </a:p>
      </xdr:txBody>
    </xdr:sp>
    <xdr:clientData/>
  </xdr:twoCellAnchor>
  <xdr:twoCellAnchor>
    <xdr:from>
      <xdr:col>17</xdr:col>
      <xdr:colOff>584554</xdr:colOff>
      <xdr:row>14</xdr:row>
      <xdr:rowOff>157453</xdr:rowOff>
    </xdr:from>
    <xdr:to>
      <xdr:col>23</xdr:col>
      <xdr:colOff>595029</xdr:colOff>
      <xdr:row>16</xdr:row>
      <xdr:rowOff>61918</xdr:rowOff>
    </xdr:to>
    <xdr:sp macro="" textlink="">
      <xdr:nvSpPr>
        <xdr:cNvPr id="270" name="TextBox 52">
          <a:extLst>
            <a:ext uri="{FF2B5EF4-FFF2-40B4-BE49-F238E27FC236}">
              <a16:creationId xmlns:a16="http://schemas.microsoft.com/office/drawing/2014/main" id="{0FD7AD34-3A4B-296F-6CB9-E3AC2B16BB84}"/>
            </a:ext>
          </a:extLst>
        </xdr:cNvPr>
        <xdr:cNvSpPr txBox="1"/>
      </xdr:nvSpPr>
      <xdr:spPr>
        <a:xfrm>
          <a:off x="10881323" y="2756068"/>
          <a:ext cx="3644629" cy="275696"/>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200">
              <a:solidFill>
                <a:sysClr val="window" lastClr="FFFFFF">
                  <a:lumMod val="50000"/>
                </a:sysClr>
              </a:solidFill>
              <a:latin typeface="Arial" panose="020B0604020202020204" pitchFamily="34" charset="0"/>
              <a:cs typeface="Arial" panose="020B0604020202020204" pitchFamily="34" charset="0"/>
            </a:rPr>
            <a:t>Customer Wealth Profile</a:t>
          </a:r>
        </a:p>
      </xdr:txBody>
    </xdr:sp>
    <xdr:clientData/>
  </xdr:twoCellAnchor>
  <xdr:twoCellAnchor>
    <xdr:from>
      <xdr:col>7</xdr:col>
      <xdr:colOff>178828</xdr:colOff>
      <xdr:row>3</xdr:row>
      <xdr:rowOff>104476</xdr:rowOff>
    </xdr:from>
    <xdr:to>
      <xdr:col>17</xdr:col>
      <xdr:colOff>5860</xdr:colOff>
      <xdr:row>4</xdr:row>
      <xdr:rowOff>157981</xdr:rowOff>
    </xdr:to>
    <xdr:sp macro="" textlink="">
      <xdr:nvSpPr>
        <xdr:cNvPr id="278" name="TextBox 27">
          <a:extLst>
            <a:ext uri="{FF2B5EF4-FFF2-40B4-BE49-F238E27FC236}">
              <a16:creationId xmlns:a16="http://schemas.microsoft.com/office/drawing/2014/main" id="{FC31C28E-85F8-2E7F-DC59-EE5DEB62859D}"/>
            </a:ext>
          </a:extLst>
        </xdr:cNvPr>
        <xdr:cNvSpPr txBox="1"/>
      </xdr:nvSpPr>
      <xdr:spPr>
        <a:xfrm>
          <a:off x="4418674" y="661322"/>
          <a:ext cx="5883955" cy="239121"/>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050" i="0">
              <a:solidFill>
                <a:sysClr val="window" lastClr="FFFFFF">
                  <a:lumMod val="50000"/>
                </a:sysClr>
              </a:solidFill>
              <a:latin typeface="Bahnschrift Light SemiCondensed" panose="020B0502040204020203" pitchFamily="34" charset="0"/>
              <a:cs typeface="Arial" panose="020B0604020202020204" pitchFamily="34" charset="0"/>
            </a:rPr>
            <a:t>A</a:t>
          </a:r>
          <a:r>
            <a:rPr lang="en-US" sz="1050" i="0" baseline="0">
              <a:solidFill>
                <a:sysClr val="window" lastClr="FFFFFF">
                  <a:lumMod val="50000"/>
                </a:sysClr>
              </a:solidFill>
              <a:latin typeface="Bahnschrift Light SemiCondensed" panose="020B0502040204020203" pitchFamily="34" charset="0"/>
              <a:cs typeface="Arial" panose="020B0604020202020204" pitchFamily="34" charset="0"/>
            </a:rPr>
            <a:t> snapshot of TD Bank customer base over the years, informing personalised engagement strategies.</a:t>
          </a:r>
          <a:endParaRPr lang="en-US" sz="1050" i="0">
            <a:solidFill>
              <a:sysClr val="window" lastClr="FFFFFF">
                <a:lumMod val="50000"/>
              </a:sysClr>
            </a:solidFill>
            <a:latin typeface="Bahnschrift Light SemiCondensed" panose="020B0502040204020203" pitchFamily="34" charset="0"/>
            <a:cs typeface="Arial" panose="020B0604020202020204" pitchFamily="34" charset="0"/>
          </a:endParaRPr>
        </a:p>
      </xdr:txBody>
    </xdr:sp>
    <xdr:clientData/>
  </xdr:twoCellAnchor>
  <xdr:twoCellAnchor>
    <xdr:from>
      <xdr:col>8</xdr:col>
      <xdr:colOff>213619</xdr:colOff>
      <xdr:row>9</xdr:row>
      <xdr:rowOff>42301</xdr:rowOff>
    </xdr:from>
    <xdr:to>
      <xdr:col>10</xdr:col>
      <xdr:colOff>205152</xdr:colOff>
      <xdr:row>11</xdr:row>
      <xdr:rowOff>39099</xdr:rowOff>
    </xdr:to>
    <xdr:sp macro="" textlink="totalcustomer">
      <xdr:nvSpPr>
        <xdr:cNvPr id="279" name="TextBox 27">
          <a:extLst>
            <a:ext uri="{FF2B5EF4-FFF2-40B4-BE49-F238E27FC236}">
              <a16:creationId xmlns:a16="http://schemas.microsoft.com/office/drawing/2014/main" id="{8648AB5A-3862-0B50-5477-EC5CF65AA831}"/>
            </a:ext>
          </a:extLst>
        </xdr:cNvPr>
        <xdr:cNvSpPr txBox="1"/>
      </xdr:nvSpPr>
      <xdr:spPr>
        <a:xfrm>
          <a:off x="5059157" y="1712839"/>
          <a:ext cx="1202918" cy="368029"/>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44413759-9081-43E7-8691-F71498ED0B74}" type="TxLink">
            <a:rPr lang="en-US" sz="2800" kern="1200">
              <a:solidFill>
                <a:sysClr val="window" lastClr="FFFFFF">
                  <a:lumMod val="85000"/>
                </a:sysClr>
              </a:solidFill>
              <a:latin typeface="Arial" panose="020B0604020202020204" pitchFamily="34" charset="0"/>
              <a:ea typeface="+mn-ea"/>
              <a:cs typeface="Arial" panose="020B0604020202020204" pitchFamily="34" charset="0"/>
            </a:rPr>
            <a:pPr marL="0" indent="0" algn="ctr" defTabSz="914400" rtl="0" eaLnBrk="1" latinLnBrk="0" hangingPunct="1"/>
            <a:t>500</a:t>
          </a:fld>
          <a:endParaRPr lang="en-US" sz="2800" kern="1200">
            <a:solidFill>
              <a:sysClr val="window" lastClr="FFFFFF">
                <a:lumMod val="85000"/>
              </a:sysClr>
            </a:solidFill>
            <a:latin typeface="Arial" panose="020B0604020202020204" pitchFamily="34" charset="0"/>
            <a:ea typeface="+mn-ea"/>
            <a:cs typeface="Arial" panose="020B0604020202020204" pitchFamily="34" charset="0"/>
          </a:endParaRPr>
        </a:p>
      </xdr:txBody>
    </xdr:sp>
    <xdr:clientData/>
  </xdr:twoCellAnchor>
  <xdr:twoCellAnchor>
    <xdr:from>
      <xdr:col>12</xdr:col>
      <xdr:colOff>202335</xdr:colOff>
      <xdr:row>9</xdr:row>
      <xdr:rowOff>42301</xdr:rowOff>
    </xdr:from>
    <xdr:to>
      <xdr:col>14</xdr:col>
      <xdr:colOff>193868</xdr:colOff>
      <xdr:row>11</xdr:row>
      <xdr:rowOff>39099</xdr:rowOff>
    </xdr:to>
    <xdr:sp macro="" textlink="avgage">
      <xdr:nvSpPr>
        <xdr:cNvPr id="280" name="TextBox 27">
          <a:extLst>
            <a:ext uri="{FF2B5EF4-FFF2-40B4-BE49-F238E27FC236}">
              <a16:creationId xmlns:a16="http://schemas.microsoft.com/office/drawing/2014/main" id="{80DD160E-3316-D29B-B56A-312A1AD848EB}"/>
            </a:ext>
          </a:extLst>
        </xdr:cNvPr>
        <xdr:cNvSpPr txBox="1"/>
      </xdr:nvSpPr>
      <xdr:spPr>
        <a:xfrm>
          <a:off x="7470643" y="1712839"/>
          <a:ext cx="1202917" cy="368029"/>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0C5C1786-76B6-4ACE-86AB-702DB9D08C26}" type="TxLink">
            <a:rPr lang="en-US" sz="2800" kern="1200">
              <a:solidFill>
                <a:sysClr val="window" lastClr="FFFFFF">
                  <a:lumMod val="85000"/>
                </a:sysClr>
              </a:solidFill>
              <a:latin typeface="Arial" panose="020B0604020202020204" pitchFamily="34" charset="0"/>
              <a:ea typeface="+mn-ea"/>
              <a:cs typeface="Arial" panose="020B0604020202020204" pitchFamily="34" charset="0"/>
            </a:rPr>
            <a:pPr marL="0" indent="0" algn="ctr" defTabSz="914400" rtl="0" eaLnBrk="1" latinLnBrk="0" hangingPunct="1"/>
            <a:t>46</a:t>
          </a:fld>
          <a:endParaRPr lang="en-US" sz="2800" kern="1200">
            <a:solidFill>
              <a:sysClr val="window" lastClr="FFFFFF">
                <a:lumMod val="85000"/>
              </a:sysClr>
            </a:solidFill>
            <a:latin typeface="Arial" panose="020B0604020202020204" pitchFamily="34" charset="0"/>
            <a:ea typeface="+mn-ea"/>
            <a:cs typeface="Arial" panose="020B0604020202020204" pitchFamily="34" charset="0"/>
          </a:endParaRPr>
        </a:p>
      </xdr:txBody>
    </xdr:sp>
    <xdr:clientData/>
  </xdr:twoCellAnchor>
  <xdr:twoCellAnchor>
    <xdr:from>
      <xdr:col>16</xdr:col>
      <xdr:colOff>51907</xdr:colOff>
      <xdr:row>9</xdr:row>
      <xdr:rowOff>42301</xdr:rowOff>
    </xdr:from>
    <xdr:to>
      <xdr:col>18</xdr:col>
      <xdr:colOff>479799</xdr:colOff>
      <xdr:row>11</xdr:row>
      <xdr:rowOff>151748</xdr:rowOff>
    </xdr:to>
    <xdr:sp macro="" textlink="avgincome">
      <xdr:nvSpPr>
        <xdr:cNvPr id="281" name="TextBox 27">
          <a:extLst>
            <a:ext uri="{FF2B5EF4-FFF2-40B4-BE49-F238E27FC236}">
              <a16:creationId xmlns:a16="http://schemas.microsoft.com/office/drawing/2014/main" id="{5CBF5F90-A862-B60E-A967-AF5AEB0FEC13}"/>
            </a:ext>
          </a:extLst>
        </xdr:cNvPr>
        <xdr:cNvSpPr txBox="1"/>
      </xdr:nvSpPr>
      <xdr:spPr>
        <a:xfrm>
          <a:off x="9742984" y="1712839"/>
          <a:ext cx="1639277" cy="480678"/>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461938FD-E351-4EC8-91B9-020F558EBB59}" type="TxLink">
            <a:rPr lang="en-US" sz="2800" kern="1200">
              <a:solidFill>
                <a:sysClr val="window" lastClr="FFFFFF">
                  <a:lumMod val="85000"/>
                </a:sysClr>
              </a:solidFill>
              <a:latin typeface="Arial" panose="020B0604020202020204" pitchFamily="34" charset="0"/>
              <a:ea typeface="+mn-ea"/>
              <a:cs typeface="Arial" panose="020B0604020202020204" pitchFamily="34" charset="0"/>
            </a:rPr>
            <a:pPr marL="0" indent="0" algn="ctr" defTabSz="914400" rtl="0" eaLnBrk="1" latinLnBrk="0" hangingPunct="1"/>
            <a:t>$114.4K</a:t>
          </a:fld>
          <a:endParaRPr lang="en-US" sz="2800" kern="1200">
            <a:solidFill>
              <a:sysClr val="window" lastClr="FFFFFF">
                <a:lumMod val="85000"/>
              </a:sysClr>
            </a:solidFill>
            <a:latin typeface="Arial" panose="020B0604020202020204" pitchFamily="34" charset="0"/>
            <a:ea typeface="+mn-ea"/>
            <a:cs typeface="Arial" panose="020B0604020202020204" pitchFamily="34" charset="0"/>
          </a:endParaRPr>
        </a:p>
      </xdr:txBody>
    </xdr:sp>
    <xdr:clientData/>
  </xdr:twoCellAnchor>
  <xdr:twoCellAnchor>
    <xdr:from>
      <xdr:col>20</xdr:col>
      <xdr:colOff>213619</xdr:colOff>
      <xdr:row>9</xdr:row>
      <xdr:rowOff>42301</xdr:rowOff>
    </xdr:from>
    <xdr:to>
      <xdr:col>22</xdr:col>
      <xdr:colOff>205152</xdr:colOff>
      <xdr:row>11</xdr:row>
      <xdr:rowOff>39099</xdr:rowOff>
    </xdr:to>
    <xdr:sp macro="" textlink="tenure">
      <xdr:nvSpPr>
        <xdr:cNvPr id="282" name="TextBox 27">
          <a:extLst>
            <a:ext uri="{FF2B5EF4-FFF2-40B4-BE49-F238E27FC236}">
              <a16:creationId xmlns:a16="http://schemas.microsoft.com/office/drawing/2014/main" id="{39549134-ECEB-5307-4540-2995DF5F2F8A}"/>
            </a:ext>
          </a:extLst>
        </xdr:cNvPr>
        <xdr:cNvSpPr txBox="1"/>
      </xdr:nvSpPr>
      <xdr:spPr>
        <a:xfrm>
          <a:off x="12327465" y="1712839"/>
          <a:ext cx="1202918" cy="368029"/>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B77F5250-8566-4884-9D14-7E275FDBAB56}" type="TxLink">
            <a:rPr lang="en-US" sz="2800" kern="1200">
              <a:solidFill>
                <a:sysClr val="window" lastClr="FFFFFF">
                  <a:lumMod val="85000"/>
                </a:sysClr>
              </a:solidFill>
              <a:latin typeface="Arial" panose="020B0604020202020204" pitchFamily="34" charset="0"/>
              <a:ea typeface="+mn-ea"/>
              <a:cs typeface="Arial" panose="020B0604020202020204" pitchFamily="34" charset="0"/>
            </a:rPr>
            <a:pPr marL="0" indent="0" algn="ctr" defTabSz="914400" rtl="0" eaLnBrk="1" latinLnBrk="0" hangingPunct="1"/>
            <a:t>5</a:t>
          </a:fld>
          <a:endParaRPr lang="en-US" sz="2800" kern="1200">
            <a:solidFill>
              <a:sysClr val="window" lastClr="FFFFFF">
                <a:lumMod val="85000"/>
              </a:sysClr>
            </a:solidFill>
            <a:latin typeface="Arial" panose="020B0604020202020204" pitchFamily="34" charset="0"/>
            <a:ea typeface="+mn-ea"/>
            <a:cs typeface="Arial" panose="020B0604020202020204" pitchFamily="34" charset="0"/>
          </a:endParaRPr>
        </a:p>
      </xdr:txBody>
    </xdr:sp>
    <xdr:clientData/>
  </xdr:twoCellAnchor>
  <xdr:twoCellAnchor>
    <xdr:from>
      <xdr:col>12</xdr:col>
      <xdr:colOff>425751</xdr:colOff>
      <xdr:row>15</xdr:row>
      <xdr:rowOff>176774</xdr:rowOff>
    </xdr:from>
    <xdr:to>
      <xdr:col>17</xdr:col>
      <xdr:colOff>425750</xdr:colOff>
      <xdr:row>24</xdr:row>
      <xdr:rowOff>65698</xdr:rowOff>
    </xdr:to>
    <xdr:graphicFrame macro="">
      <xdr:nvGraphicFramePr>
        <xdr:cNvPr id="284" name="Chart 283">
          <a:extLst>
            <a:ext uri="{FF2B5EF4-FFF2-40B4-BE49-F238E27FC236}">
              <a16:creationId xmlns:a16="http://schemas.microsoft.com/office/drawing/2014/main" id="{5AAB42B5-E30B-416B-963F-57984FACC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442684</xdr:colOff>
      <xdr:row>17</xdr:row>
      <xdr:rowOff>85686</xdr:rowOff>
    </xdr:from>
    <xdr:to>
      <xdr:col>15</xdr:col>
      <xdr:colOff>229324</xdr:colOff>
      <xdr:row>22</xdr:row>
      <xdr:rowOff>158146</xdr:rowOff>
    </xdr:to>
    <xdr:sp macro="" textlink="">
      <xdr:nvSpPr>
        <xdr:cNvPr id="289" name="Oval 288">
          <a:extLst>
            <a:ext uri="{FF2B5EF4-FFF2-40B4-BE49-F238E27FC236}">
              <a16:creationId xmlns:a16="http://schemas.microsoft.com/office/drawing/2014/main" id="{D8F9CF07-44CB-EFA9-189F-897C4E969B60}"/>
            </a:ext>
          </a:extLst>
        </xdr:cNvPr>
        <xdr:cNvSpPr/>
      </xdr:nvSpPr>
      <xdr:spPr>
        <a:xfrm>
          <a:off x="8316684" y="3241148"/>
          <a:ext cx="998025" cy="1000536"/>
        </a:xfrm>
        <a:prstGeom prst="ellipse">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476551</xdr:colOff>
      <xdr:row>18</xdr:row>
      <xdr:rowOff>125942</xdr:rowOff>
    </xdr:from>
    <xdr:to>
      <xdr:col>15</xdr:col>
      <xdr:colOff>273350</xdr:colOff>
      <xdr:row>20</xdr:row>
      <xdr:rowOff>122741</xdr:rowOff>
    </xdr:to>
    <xdr:sp macro="" textlink="maxtenureval">
      <xdr:nvSpPr>
        <xdr:cNvPr id="290" name="TextBox 27">
          <a:extLst>
            <a:ext uri="{FF2B5EF4-FFF2-40B4-BE49-F238E27FC236}">
              <a16:creationId xmlns:a16="http://schemas.microsoft.com/office/drawing/2014/main" id="{547FEBE5-B079-567C-700A-F4C72578D54A}"/>
            </a:ext>
          </a:extLst>
        </xdr:cNvPr>
        <xdr:cNvSpPr txBox="1"/>
      </xdr:nvSpPr>
      <xdr:spPr>
        <a:xfrm>
          <a:off x="8350551" y="3467019"/>
          <a:ext cx="1008184" cy="368030"/>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7E122B80-D56E-4488-A98B-C114C4E7DB87}" type="TxLink">
            <a:rPr lang="en-US" sz="2800" kern="1200">
              <a:solidFill>
                <a:sysClr val="window" lastClr="FFFFFF">
                  <a:lumMod val="85000"/>
                </a:sysClr>
              </a:solidFill>
              <a:latin typeface="Arial" panose="020B0604020202020204" pitchFamily="34" charset="0"/>
              <a:ea typeface="+mn-ea"/>
              <a:cs typeface="Arial" panose="020B0604020202020204" pitchFamily="34" charset="0"/>
            </a:rPr>
            <a:pPr marL="0" indent="0" algn="ctr" defTabSz="914400" rtl="0" eaLnBrk="1" latinLnBrk="0" hangingPunct="1"/>
            <a:t>40%</a:t>
          </a:fld>
          <a:endParaRPr lang="en-US" sz="2800" kern="1200">
            <a:solidFill>
              <a:sysClr val="window" lastClr="FFFFFF">
                <a:lumMod val="85000"/>
              </a:sysClr>
            </a:solidFill>
            <a:latin typeface="Arial" panose="020B0604020202020204" pitchFamily="34" charset="0"/>
            <a:ea typeface="+mn-ea"/>
            <a:cs typeface="Arial" panose="020B0604020202020204" pitchFamily="34" charset="0"/>
          </a:endParaRPr>
        </a:p>
      </xdr:txBody>
    </xdr:sp>
    <xdr:clientData/>
  </xdr:twoCellAnchor>
  <xdr:twoCellAnchor>
    <xdr:from>
      <xdr:col>13</xdr:col>
      <xdr:colOff>586618</xdr:colOff>
      <xdr:row>20</xdr:row>
      <xdr:rowOff>117508</xdr:rowOff>
    </xdr:from>
    <xdr:to>
      <xdr:col>15</xdr:col>
      <xdr:colOff>87085</xdr:colOff>
      <xdr:row>21</xdr:row>
      <xdr:rowOff>139672</xdr:rowOff>
    </xdr:to>
    <xdr:sp macro="" textlink="maxtenure">
      <xdr:nvSpPr>
        <xdr:cNvPr id="291" name="TextBox 27">
          <a:extLst>
            <a:ext uri="{FF2B5EF4-FFF2-40B4-BE49-F238E27FC236}">
              <a16:creationId xmlns:a16="http://schemas.microsoft.com/office/drawing/2014/main" id="{DD2D51AE-17A4-A0DF-DA67-7B38244C99EB}"/>
            </a:ext>
          </a:extLst>
        </xdr:cNvPr>
        <xdr:cNvSpPr txBox="1"/>
      </xdr:nvSpPr>
      <xdr:spPr>
        <a:xfrm>
          <a:off x="8460618" y="3829816"/>
          <a:ext cx="711852" cy="207779"/>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7F4EFCBD-33AD-404F-8630-2B46638206A7}" type="TxLink">
            <a:rPr lang="en-US" sz="1000" kern="1200">
              <a:solidFill>
                <a:sysClr val="window" lastClr="FFFFFF">
                  <a:lumMod val="85000"/>
                </a:sysClr>
              </a:solidFill>
              <a:latin typeface="Arial" panose="020B0604020202020204" pitchFamily="34" charset="0"/>
              <a:ea typeface="+mn-ea"/>
              <a:cs typeface="Arial" panose="020B0604020202020204" pitchFamily="34" charset="0"/>
            </a:rPr>
            <a:pPr marL="0" indent="0" algn="ctr" defTabSz="914400" rtl="0" eaLnBrk="1" latinLnBrk="0" hangingPunct="1"/>
            <a:t>Loyal</a:t>
          </a:fld>
          <a:endParaRPr lang="en-US" sz="1000" kern="1200">
            <a:solidFill>
              <a:sysClr val="window" lastClr="FFFFFF">
                <a:lumMod val="85000"/>
              </a:sysClr>
            </a:solidFill>
            <a:latin typeface="Arial" panose="020B0604020202020204" pitchFamily="34" charset="0"/>
            <a:ea typeface="+mn-ea"/>
            <a:cs typeface="Arial" panose="020B0604020202020204" pitchFamily="34" charset="0"/>
          </a:endParaRPr>
        </a:p>
      </xdr:txBody>
    </xdr:sp>
    <xdr:clientData/>
  </xdr:twoCellAnchor>
  <xdr:twoCellAnchor>
    <xdr:from>
      <xdr:col>7</xdr:col>
      <xdr:colOff>203756</xdr:colOff>
      <xdr:row>14</xdr:row>
      <xdr:rowOff>101600</xdr:rowOff>
    </xdr:from>
    <xdr:to>
      <xdr:col>12</xdr:col>
      <xdr:colOff>446590</xdr:colOff>
      <xdr:row>24</xdr:row>
      <xdr:rowOff>59610</xdr:rowOff>
    </xdr:to>
    <xdr:graphicFrame macro="">
      <xdr:nvGraphicFramePr>
        <xdr:cNvPr id="293" name="Chart 292">
          <a:extLst>
            <a:ext uri="{FF2B5EF4-FFF2-40B4-BE49-F238E27FC236}">
              <a16:creationId xmlns:a16="http://schemas.microsoft.com/office/drawing/2014/main" id="{222A0441-A665-4A83-9CD2-466136E07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588944</xdr:colOff>
      <xdr:row>14</xdr:row>
      <xdr:rowOff>184218</xdr:rowOff>
    </xdr:from>
    <xdr:to>
      <xdr:col>23</xdr:col>
      <xdr:colOff>262371</xdr:colOff>
      <xdr:row>24</xdr:row>
      <xdr:rowOff>58617</xdr:rowOff>
    </xdr:to>
    <xdr:graphicFrame macro="">
      <xdr:nvGraphicFramePr>
        <xdr:cNvPr id="294" name="Chart 293">
          <a:extLst>
            <a:ext uri="{FF2B5EF4-FFF2-40B4-BE49-F238E27FC236}">
              <a16:creationId xmlns:a16="http://schemas.microsoft.com/office/drawing/2014/main" id="{FE813A81-BCAC-4554-9EF7-6A0263953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124805</xdr:colOff>
      <xdr:row>26</xdr:row>
      <xdr:rowOff>5182</xdr:rowOff>
    </xdr:from>
    <xdr:to>
      <xdr:col>14</xdr:col>
      <xdr:colOff>280315</xdr:colOff>
      <xdr:row>36</xdr:row>
      <xdr:rowOff>82059</xdr:rowOff>
    </xdr:to>
    <xdr:graphicFrame macro="">
      <xdr:nvGraphicFramePr>
        <xdr:cNvPr id="295" name="Chart 294">
          <a:extLst>
            <a:ext uri="{FF2B5EF4-FFF2-40B4-BE49-F238E27FC236}">
              <a16:creationId xmlns:a16="http://schemas.microsoft.com/office/drawing/2014/main" id="{D216295D-1A0C-4D2A-A372-EAE2286D3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368915</xdr:colOff>
      <xdr:row>24</xdr:row>
      <xdr:rowOff>78154</xdr:rowOff>
    </xdr:from>
    <xdr:to>
      <xdr:col>23</xdr:col>
      <xdr:colOff>308757</xdr:colOff>
      <xdr:row>36</xdr:row>
      <xdr:rowOff>88693</xdr:rowOff>
    </xdr:to>
    <xdr:graphicFrame macro="">
      <xdr:nvGraphicFramePr>
        <xdr:cNvPr id="296" name="Chart 295">
          <a:extLst>
            <a:ext uri="{FF2B5EF4-FFF2-40B4-BE49-F238E27FC236}">
              <a16:creationId xmlns:a16="http://schemas.microsoft.com/office/drawing/2014/main" id="{FE2D8119-06AA-41E8-A9D2-E1D169AC3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164377</xdr:colOff>
      <xdr:row>21</xdr:row>
      <xdr:rowOff>89130</xdr:rowOff>
    </xdr:from>
    <xdr:to>
      <xdr:col>6</xdr:col>
      <xdr:colOff>535353</xdr:colOff>
      <xdr:row>23</xdr:row>
      <xdr:rowOff>176924</xdr:rowOff>
    </xdr:to>
    <xdr:grpSp>
      <xdr:nvGrpSpPr>
        <xdr:cNvPr id="354" name="Group 353">
          <a:extLst>
            <a:ext uri="{FF2B5EF4-FFF2-40B4-BE49-F238E27FC236}">
              <a16:creationId xmlns:a16="http://schemas.microsoft.com/office/drawing/2014/main" id="{4C6B4610-6883-3A6D-5B61-CEDD7B287D10}"/>
            </a:ext>
          </a:extLst>
        </xdr:cNvPr>
        <xdr:cNvGrpSpPr/>
      </xdr:nvGrpSpPr>
      <xdr:grpSpPr>
        <a:xfrm>
          <a:off x="2602777" y="3963298"/>
          <a:ext cx="1590176" cy="456763"/>
          <a:chOff x="2602777" y="4000730"/>
          <a:chExt cx="1590176" cy="460327"/>
        </a:xfrm>
      </xdr:grpSpPr>
      <xdr:grpSp>
        <xdr:nvGrpSpPr>
          <xdr:cNvPr id="334" name="Group 333">
            <a:extLst>
              <a:ext uri="{FF2B5EF4-FFF2-40B4-BE49-F238E27FC236}">
                <a16:creationId xmlns:a16="http://schemas.microsoft.com/office/drawing/2014/main" id="{37A0A1C8-9C79-0E12-E9C6-5A4EDF0E7E25}"/>
              </a:ext>
            </a:extLst>
          </xdr:cNvPr>
          <xdr:cNvGrpSpPr/>
        </xdr:nvGrpSpPr>
        <xdr:grpSpPr>
          <a:xfrm>
            <a:off x="2602777" y="4000730"/>
            <a:ext cx="1590176" cy="460327"/>
            <a:chOff x="2556709" y="1315890"/>
            <a:chExt cx="1594187" cy="448742"/>
          </a:xfrm>
        </xdr:grpSpPr>
        <xdr:sp macro="" textlink="">
          <xdr:nvSpPr>
            <xdr:cNvPr id="335" name="Rectangle: Rounded Corners 334">
              <a:extLst>
                <a:ext uri="{FF2B5EF4-FFF2-40B4-BE49-F238E27FC236}">
                  <a16:creationId xmlns:a16="http://schemas.microsoft.com/office/drawing/2014/main" id="{BD2033C4-2E59-0152-809D-A90F3DF7AF54}"/>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336" name="Oval 335">
              <a:extLst>
                <a:ext uri="{FF2B5EF4-FFF2-40B4-BE49-F238E27FC236}">
                  <a16:creationId xmlns:a16="http://schemas.microsoft.com/office/drawing/2014/main" id="{A7833ABF-1A72-ACBC-F138-F6555B399B4A}"/>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337" name="TextBox 50">
              <a:extLst>
                <a:ext uri="{FF2B5EF4-FFF2-40B4-BE49-F238E27FC236}">
                  <a16:creationId xmlns:a16="http://schemas.microsoft.com/office/drawing/2014/main" id="{8CC7ACEE-9F61-4DB0-CB8D-E5BEA6FEF19B}"/>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Post  Analysis</a:t>
              </a:r>
            </a:p>
          </xdr:txBody>
        </xdr:sp>
      </xdr:grpSp>
      <xdr:pic>
        <xdr:nvPicPr>
          <xdr:cNvPr id="339" name="Picture 338">
            <a:hlinkClick xmlns:r="http://schemas.openxmlformats.org/officeDocument/2006/relationships" r:id="rId6"/>
            <a:extLst>
              <a:ext uri="{FF2B5EF4-FFF2-40B4-BE49-F238E27FC236}">
                <a16:creationId xmlns:a16="http://schemas.microsoft.com/office/drawing/2014/main" id="{8F066C62-4A1E-4874-B0CE-D31826979283}"/>
              </a:ext>
            </a:extLst>
          </xdr:cNvPr>
          <xdr:cNvPicPr>
            <a:picLocks noChangeAspect="1"/>
          </xdr:cNvPicPr>
        </xdr:nvPicPr>
        <xdr:blipFill>
          <a:blip xmlns:r="http://schemas.openxmlformats.org/officeDocument/2006/relationships" r:embed="rId7" cstate="print">
            <a:duotone>
              <a:schemeClr val="bg2">
                <a:shade val="45000"/>
                <a:satMod val="135000"/>
              </a:schemeClr>
              <a:prstClr val="white"/>
            </a:duotone>
            <a:alphaModFix/>
            <a:extLst>
              <a:ext uri="{BEBA8EAE-BF5A-486C-A8C5-ECC9F3942E4B}">
                <a14:imgProps xmlns:a14="http://schemas.microsoft.com/office/drawing/2010/main">
                  <a14:imgLayer r:embed="rId8">
                    <a14:imgEffect>
                      <a14:sharpenSoften amount="50000"/>
                    </a14:imgEffect>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2731477" y="4107638"/>
            <a:ext cx="228600" cy="229250"/>
          </a:xfrm>
          <a:prstGeom prst="rect">
            <a:avLst/>
          </a:prstGeom>
        </xdr:spPr>
      </xdr:pic>
    </xdr:grpSp>
    <xdr:clientData/>
  </xdr:twoCellAnchor>
  <xdr:twoCellAnchor>
    <xdr:from>
      <xdr:col>4</xdr:col>
      <xdr:colOff>164377</xdr:colOff>
      <xdr:row>11</xdr:row>
      <xdr:rowOff>10295</xdr:rowOff>
    </xdr:from>
    <xdr:to>
      <xdr:col>6</xdr:col>
      <xdr:colOff>535353</xdr:colOff>
      <xdr:row>13</xdr:row>
      <xdr:rowOff>103231</xdr:rowOff>
    </xdr:to>
    <xdr:grpSp>
      <xdr:nvGrpSpPr>
        <xdr:cNvPr id="351" name="Group 350">
          <a:extLst>
            <a:ext uri="{FF2B5EF4-FFF2-40B4-BE49-F238E27FC236}">
              <a16:creationId xmlns:a16="http://schemas.microsoft.com/office/drawing/2014/main" id="{C59F55EC-4B23-5E53-5C7A-318BEA5CD005}"/>
            </a:ext>
          </a:extLst>
        </xdr:cNvPr>
        <xdr:cNvGrpSpPr/>
      </xdr:nvGrpSpPr>
      <xdr:grpSpPr>
        <a:xfrm>
          <a:off x="2602777" y="2039621"/>
          <a:ext cx="1590176" cy="461905"/>
          <a:chOff x="2602777" y="2059228"/>
          <a:chExt cx="1590176" cy="465470"/>
        </a:xfrm>
      </xdr:grpSpPr>
      <xdr:grpSp>
        <xdr:nvGrpSpPr>
          <xdr:cNvPr id="322" name="Group 321">
            <a:extLst>
              <a:ext uri="{FF2B5EF4-FFF2-40B4-BE49-F238E27FC236}">
                <a16:creationId xmlns:a16="http://schemas.microsoft.com/office/drawing/2014/main" id="{D8EF51E8-B892-E497-7C8C-D3D8B389474B}"/>
              </a:ext>
            </a:extLst>
          </xdr:cNvPr>
          <xdr:cNvGrpSpPr/>
        </xdr:nvGrpSpPr>
        <xdr:grpSpPr>
          <a:xfrm>
            <a:off x="2602777" y="2059228"/>
            <a:ext cx="1590176" cy="465470"/>
            <a:chOff x="2556709" y="1315890"/>
            <a:chExt cx="1594187" cy="448742"/>
          </a:xfrm>
        </xdr:grpSpPr>
        <xdr:sp macro="" textlink="">
          <xdr:nvSpPr>
            <xdr:cNvPr id="323" name="Rectangle: Rounded Corners 322">
              <a:extLst>
                <a:ext uri="{FF2B5EF4-FFF2-40B4-BE49-F238E27FC236}">
                  <a16:creationId xmlns:a16="http://schemas.microsoft.com/office/drawing/2014/main" id="{E2589D82-3E55-36B6-538E-2493C3E7696A}"/>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324" name="Oval 323">
              <a:extLst>
                <a:ext uri="{FF2B5EF4-FFF2-40B4-BE49-F238E27FC236}">
                  <a16:creationId xmlns:a16="http://schemas.microsoft.com/office/drawing/2014/main" id="{E7C67DF8-20E3-D756-DC60-BA2AD81C8D99}"/>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325" name="TextBox 50">
              <a:extLst>
                <a:ext uri="{FF2B5EF4-FFF2-40B4-BE49-F238E27FC236}">
                  <a16:creationId xmlns:a16="http://schemas.microsoft.com/office/drawing/2014/main" id="{1E713CEF-49D4-ABCF-5EEA-E28F5C3661B4}"/>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Pre Analysis</a:t>
              </a:r>
            </a:p>
          </xdr:txBody>
        </xdr:sp>
      </xdr:grpSp>
      <xdr:pic>
        <xdr:nvPicPr>
          <xdr:cNvPr id="340" name="Picture 339">
            <a:hlinkClick xmlns:r="http://schemas.openxmlformats.org/officeDocument/2006/relationships" r:id="rId9"/>
            <a:extLst>
              <a:ext uri="{FF2B5EF4-FFF2-40B4-BE49-F238E27FC236}">
                <a16:creationId xmlns:a16="http://schemas.microsoft.com/office/drawing/2014/main" id="{8C24E064-0DB5-498D-9A38-0F0301DD167D}"/>
              </a:ext>
            </a:extLst>
          </xdr:cNvPr>
          <xdr:cNvPicPr>
            <a:picLocks noChangeAspect="1"/>
          </xdr:cNvPicPr>
        </xdr:nvPicPr>
        <xdr:blipFill>
          <a:blip xmlns:r="http://schemas.openxmlformats.org/officeDocument/2006/relationships" r:embed="rId10" cstate="print">
            <a:duotone>
              <a:prstClr val="black"/>
              <a:schemeClr val="tx2">
                <a:tint val="45000"/>
                <a:satMod val="400000"/>
              </a:schemeClr>
            </a:duotone>
            <a:extLst>
              <a:ext uri="{BEBA8EAE-BF5A-486C-A8C5-ECC9F3942E4B}">
                <a14:imgProps xmlns:a14="http://schemas.microsoft.com/office/drawing/2010/main">
                  <a14:imgLayer r:embed="rId11">
                    <a14:imgEffect>
                      <a14:sharpenSoften amount="50000"/>
                    </a14:imgEffect>
                  </a14:imgLayer>
                </a14:imgProps>
              </a:ext>
              <a:ext uri="{28A0092B-C50C-407E-A947-70E740481C1C}">
                <a14:useLocalDpi xmlns:a14="http://schemas.microsoft.com/office/drawing/2010/main" val="0"/>
              </a:ext>
            </a:extLst>
          </a:blip>
          <a:stretch>
            <a:fillRect/>
          </a:stretch>
        </xdr:blipFill>
        <xdr:spPr>
          <a:xfrm>
            <a:off x="2737783" y="2158188"/>
            <a:ext cx="228600" cy="229251"/>
          </a:xfrm>
          <a:prstGeom prst="rect">
            <a:avLst/>
          </a:prstGeom>
        </xdr:spPr>
      </xdr:pic>
    </xdr:grpSp>
    <xdr:clientData/>
  </xdr:twoCellAnchor>
  <xdr:twoCellAnchor>
    <xdr:from>
      <xdr:col>4</xdr:col>
      <xdr:colOff>164377</xdr:colOff>
      <xdr:row>17</xdr:row>
      <xdr:rowOff>184880</xdr:rowOff>
    </xdr:from>
    <xdr:to>
      <xdr:col>6</xdr:col>
      <xdr:colOff>535353</xdr:colOff>
      <xdr:row>20</xdr:row>
      <xdr:rowOff>92201</xdr:rowOff>
    </xdr:to>
    <xdr:grpSp>
      <xdr:nvGrpSpPr>
        <xdr:cNvPr id="353" name="Group 352">
          <a:extLst>
            <a:ext uri="{FF2B5EF4-FFF2-40B4-BE49-F238E27FC236}">
              <a16:creationId xmlns:a16="http://schemas.microsoft.com/office/drawing/2014/main" id="{4FC6C893-2E62-6278-7003-4462FB342028}"/>
            </a:ext>
          </a:extLst>
        </xdr:cNvPr>
        <xdr:cNvGrpSpPr/>
      </xdr:nvGrpSpPr>
      <xdr:grpSpPr>
        <a:xfrm>
          <a:off x="2602777" y="3321112"/>
          <a:ext cx="1590176" cy="460773"/>
          <a:chOff x="2602777" y="3351413"/>
          <a:chExt cx="1590176" cy="466121"/>
        </a:xfrm>
      </xdr:grpSpPr>
      <xdr:grpSp>
        <xdr:nvGrpSpPr>
          <xdr:cNvPr id="330" name="Group 329">
            <a:extLst>
              <a:ext uri="{FF2B5EF4-FFF2-40B4-BE49-F238E27FC236}">
                <a16:creationId xmlns:a16="http://schemas.microsoft.com/office/drawing/2014/main" id="{C9B3E882-BAE8-49A2-10A0-E52CEB232527}"/>
              </a:ext>
            </a:extLst>
          </xdr:cNvPr>
          <xdr:cNvGrpSpPr/>
        </xdr:nvGrpSpPr>
        <xdr:grpSpPr>
          <a:xfrm>
            <a:off x="2602777" y="3351413"/>
            <a:ext cx="1590176" cy="466121"/>
            <a:chOff x="2556709" y="1315890"/>
            <a:chExt cx="1594187" cy="448742"/>
          </a:xfrm>
        </xdr:grpSpPr>
        <xdr:sp macro="" textlink="">
          <xdr:nvSpPr>
            <xdr:cNvPr id="331" name="Rectangle: Rounded Corners 330">
              <a:extLst>
                <a:ext uri="{FF2B5EF4-FFF2-40B4-BE49-F238E27FC236}">
                  <a16:creationId xmlns:a16="http://schemas.microsoft.com/office/drawing/2014/main" id="{B96F9C6C-802F-267E-3713-E69D57154BE2}"/>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332" name="Oval 331">
              <a:extLst>
                <a:ext uri="{FF2B5EF4-FFF2-40B4-BE49-F238E27FC236}">
                  <a16:creationId xmlns:a16="http://schemas.microsoft.com/office/drawing/2014/main" id="{BD0FD745-A21B-5CC1-6C68-70B116366ED3}"/>
                </a:ext>
              </a:extLst>
            </xdr:cNvPr>
            <xdr:cNvSpPr/>
          </xdr:nvSpPr>
          <xdr:spPr>
            <a:xfrm>
              <a:off x="2609569" y="1355210"/>
              <a:ext cx="366948" cy="355386"/>
            </a:xfrm>
            <a:prstGeom prst="ellipse">
              <a:avLst/>
            </a:prstGeom>
            <a:solidFill>
              <a:schemeClr val="bg1"/>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333" name="TextBox 50">
              <a:extLst>
                <a:ext uri="{FF2B5EF4-FFF2-40B4-BE49-F238E27FC236}">
                  <a16:creationId xmlns:a16="http://schemas.microsoft.com/office/drawing/2014/main" id="{06EC97B6-2285-A4E1-D7E3-539AF1D8E66C}"/>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Dashboard</a:t>
              </a:r>
            </a:p>
          </xdr:txBody>
        </xdr:sp>
      </xdr:grpSp>
      <xdr:pic>
        <xdr:nvPicPr>
          <xdr:cNvPr id="341" name="Picture 340">
            <a:hlinkClick xmlns:r="http://schemas.openxmlformats.org/officeDocument/2006/relationships" r:id="rId12"/>
            <a:extLst>
              <a:ext uri="{FF2B5EF4-FFF2-40B4-BE49-F238E27FC236}">
                <a16:creationId xmlns:a16="http://schemas.microsoft.com/office/drawing/2014/main" id="{114512CF-0FE8-4238-BC76-6321EA60B01C}"/>
              </a:ext>
            </a:extLst>
          </xdr:cNvPr>
          <xdr:cNvPicPr>
            <a:picLocks noChangeAspect="1"/>
          </xdr:cNvPicPr>
        </xdr:nvPicPr>
        <xdr:blipFill>
          <a:blip xmlns:r="http://schemas.openxmlformats.org/officeDocument/2006/relationships" r:embed="rId13" cstate="print">
            <a:duotone>
              <a:prstClr val="black"/>
              <a:srgbClr val="134E4C">
                <a:tint val="45000"/>
                <a:satMod val="400000"/>
              </a:srgbClr>
            </a:duotone>
            <a:extLst>
              <a:ext uri="{BEBA8EAE-BF5A-486C-A8C5-ECC9F3942E4B}">
                <a14:imgProps xmlns:a14="http://schemas.microsoft.com/office/drawing/2010/main">
                  <a14:imgLayer r:embed="rId14">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2721706" y="3455747"/>
            <a:ext cx="228600" cy="229252"/>
          </a:xfrm>
          <a:prstGeom prst="rect">
            <a:avLst/>
          </a:prstGeom>
        </xdr:spPr>
      </xdr:pic>
    </xdr:grpSp>
    <xdr:clientData/>
  </xdr:twoCellAnchor>
  <xdr:twoCellAnchor>
    <xdr:from>
      <xdr:col>4</xdr:col>
      <xdr:colOff>164377</xdr:colOff>
      <xdr:row>14</xdr:row>
      <xdr:rowOff>100158</xdr:rowOff>
    </xdr:from>
    <xdr:to>
      <xdr:col>6</xdr:col>
      <xdr:colOff>535353</xdr:colOff>
      <xdr:row>17</xdr:row>
      <xdr:rowOff>2337</xdr:rowOff>
    </xdr:to>
    <xdr:grpSp>
      <xdr:nvGrpSpPr>
        <xdr:cNvPr id="352" name="Group 351">
          <a:extLst>
            <a:ext uri="{FF2B5EF4-FFF2-40B4-BE49-F238E27FC236}">
              <a16:creationId xmlns:a16="http://schemas.microsoft.com/office/drawing/2014/main" id="{E296B336-35B6-B0FD-6D7A-20F19DF57CD3}"/>
            </a:ext>
          </a:extLst>
        </xdr:cNvPr>
        <xdr:cNvGrpSpPr/>
      </xdr:nvGrpSpPr>
      <xdr:grpSpPr>
        <a:xfrm>
          <a:off x="2602777" y="2682937"/>
          <a:ext cx="1590176" cy="455632"/>
          <a:chOff x="2602777" y="2707891"/>
          <a:chExt cx="1590176" cy="460979"/>
        </a:xfrm>
      </xdr:grpSpPr>
      <xdr:grpSp>
        <xdr:nvGrpSpPr>
          <xdr:cNvPr id="326" name="Group 325">
            <a:extLst>
              <a:ext uri="{FF2B5EF4-FFF2-40B4-BE49-F238E27FC236}">
                <a16:creationId xmlns:a16="http://schemas.microsoft.com/office/drawing/2014/main" id="{A27FC07C-8843-EA5A-0991-F265D4F64F8A}"/>
              </a:ext>
            </a:extLst>
          </xdr:cNvPr>
          <xdr:cNvGrpSpPr/>
        </xdr:nvGrpSpPr>
        <xdr:grpSpPr>
          <a:xfrm>
            <a:off x="2602777" y="2707891"/>
            <a:ext cx="1590176" cy="460979"/>
            <a:chOff x="2556709" y="1315890"/>
            <a:chExt cx="1594187" cy="448742"/>
          </a:xfrm>
        </xdr:grpSpPr>
        <xdr:sp macro="" textlink="">
          <xdr:nvSpPr>
            <xdr:cNvPr id="327" name="Rectangle: Rounded Corners 326">
              <a:extLst>
                <a:ext uri="{FF2B5EF4-FFF2-40B4-BE49-F238E27FC236}">
                  <a16:creationId xmlns:a16="http://schemas.microsoft.com/office/drawing/2014/main" id="{2A11E808-3514-C8E1-C99D-C7CB2D88A235}"/>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328" name="Oval 327">
              <a:extLst>
                <a:ext uri="{FF2B5EF4-FFF2-40B4-BE49-F238E27FC236}">
                  <a16:creationId xmlns:a16="http://schemas.microsoft.com/office/drawing/2014/main" id="{E55F6AAA-F735-8445-6743-E37AB211AF40}"/>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329" name="TextBox 50">
              <a:extLst>
                <a:ext uri="{FF2B5EF4-FFF2-40B4-BE49-F238E27FC236}">
                  <a16:creationId xmlns:a16="http://schemas.microsoft.com/office/drawing/2014/main" id="{3C5D2453-8CA9-F815-BB3F-628BB1203FCE}"/>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In Analysis</a:t>
              </a:r>
            </a:p>
          </xdr:txBody>
        </xdr:sp>
      </xdr:grpSp>
      <xdr:pic>
        <xdr:nvPicPr>
          <xdr:cNvPr id="342" name="Picture 341">
            <a:hlinkClick xmlns:r="http://schemas.openxmlformats.org/officeDocument/2006/relationships" r:id="rId15"/>
            <a:extLst>
              <a:ext uri="{FF2B5EF4-FFF2-40B4-BE49-F238E27FC236}">
                <a16:creationId xmlns:a16="http://schemas.microsoft.com/office/drawing/2014/main" id="{D95B01A1-A5D9-4E3F-8D13-589878CAA06C}"/>
              </a:ext>
            </a:extLst>
          </xdr:cNvPr>
          <xdr:cNvPicPr>
            <a:picLocks noChangeAspect="1"/>
          </xdr:cNvPicPr>
        </xdr:nvPicPr>
        <xdr:blipFill>
          <a:blip xmlns:r="http://schemas.openxmlformats.org/officeDocument/2006/relationships" r:embed="rId16" cstate="print">
            <a:duotone>
              <a:prstClr val="black"/>
              <a:srgbClr val="134E4C">
                <a:tint val="45000"/>
                <a:satMod val="400000"/>
              </a:srgbClr>
            </a:duotone>
            <a:extLst>
              <a:ext uri="{28A0092B-C50C-407E-A947-70E740481C1C}">
                <a14:useLocalDpi xmlns:a14="http://schemas.microsoft.com/office/drawing/2010/main" val="0"/>
              </a:ext>
            </a:extLst>
          </a:blip>
          <a:stretch>
            <a:fillRect/>
          </a:stretch>
        </xdr:blipFill>
        <xdr:spPr>
          <a:xfrm>
            <a:off x="2725169" y="2812486"/>
            <a:ext cx="228600" cy="229252"/>
          </a:xfrm>
          <a:prstGeom prst="rect">
            <a:avLst/>
          </a:prstGeom>
        </xdr:spPr>
      </xdr:pic>
    </xdr:grpSp>
    <xdr:clientData/>
  </xdr:twoCellAnchor>
  <xdr:twoCellAnchor>
    <xdr:from>
      <xdr:col>4</xdr:col>
      <xdr:colOff>164377</xdr:colOff>
      <xdr:row>7</xdr:row>
      <xdr:rowOff>111188</xdr:rowOff>
    </xdr:from>
    <xdr:to>
      <xdr:col>6</xdr:col>
      <xdr:colOff>535353</xdr:colOff>
      <xdr:row>10</xdr:row>
      <xdr:rowOff>13367</xdr:rowOff>
    </xdr:to>
    <xdr:grpSp>
      <xdr:nvGrpSpPr>
        <xdr:cNvPr id="350" name="Group 349">
          <a:extLst>
            <a:ext uri="{FF2B5EF4-FFF2-40B4-BE49-F238E27FC236}">
              <a16:creationId xmlns:a16="http://schemas.microsoft.com/office/drawing/2014/main" id="{A06BA9B1-1E18-46FB-3148-15CAC1580FF5}"/>
            </a:ext>
          </a:extLst>
        </xdr:cNvPr>
        <xdr:cNvGrpSpPr/>
      </xdr:nvGrpSpPr>
      <xdr:grpSpPr>
        <a:xfrm>
          <a:off x="2602777" y="1402577"/>
          <a:ext cx="1590176" cy="455632"/>
          <a:chOff x="2602777" y="1415055"/>
          <a:chExt cx="1590176" cy="460979"/>
        </a:xfrm>
      </xdr:grpSpPr>
      <xdr:grpSp>
        <xdr:nvGrpSpPr>
          <xdr:cNvPr id="321" name="Group 320">
            <a:extLst>
              <a:ext uri="{FF2B5EF4-FFF2-40B4-BE49-F238E27FC236}">
                <a16:creationId xmlns:a16="http://schemas.microsoft.com/office/drawing/2014/main" id="{FEA0BA3E-2B08-079C-CE2E-B5E0EF92E898}"/>
              </a:ext>
            </a:extLst>
          </xdr:cNvPr>
          <xdr:cNvGrpSpPr/>
        </xdr:nvGrpSpPr>
        <xdr:grpSpPr>
          <a:xfrm>
            <a:off x="2602777" y="1415055"/>
            <a:ext cx="1590176" cy="460979"/>
            <a:chOff x="2556709" y="1315890"/>
            <a:chExt cx="1594187" cy="448742"/>
          </a:xfrm>
        </xdr:grpSpPr>
        <xdr:sp macro="" textlink="">
          <xdr:nvSpPr>
            <xdr:cNvPr id="315" name="Rectangle: Rounded Corners 314">
              <a:extLst>
                <a:ext uri="{FF2B5EF4-FFF2-40B4-BE49-F238E27FC236}">
                  <a16:creationId xmlns:a16="http://schemas.microsoft.com/office/drawing/2014/main" id="{948D4A29-84D0-6EA0-0FCD-52208AF0570E}"/>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316" name="Oval 315">
              <a:extLst>
                <a:ext uri="{FF2B5EF4-FFF2-40B4-BE49-F238E27FC236}">
                  <a16:creationId xmlns:a16="http://schemas.microsoft.com/office/drawing/2014/main" id="{790E2BD7-8E0A-DC29-6013-A248397950E1}"/>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320" name="TextBox 50">
              <a:extLst>
                <a:ext uri="{FF2B5EF4-FFF2-40B4-BE49-F238E27FC236}">
                  <a16:creationId xmlns:a16="http://schemas.microsoft.com/office/drawing/2014/main" id="{5AAF8D8E-9C8C-361D-D6F7-01C45E167C31}"/>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Dataset</a:t>
              </a:r>
            </a:p>
          </xdr:txBody>
        </xdr:sp>
      </xdr:grpSp>
      <xdr:pic>
        <xdr:nvPicPr>
          <xdr:cNvPr id="343" name="Picture 342">
            <a:hlinkClick xmlns:r="http://schemas.openxmlformats.org/officeDocument/2006/relationships" r:id="rId17"/>
            <a:extLst>
              <a:ext uri="{FF2B5EF4-FFF2-40B4-BE49-F238E27FC236}">
                <a16:creationId xmlns:a16="http://schemas.microsoft.com/office/drawing/2014/main" id="{D0699A21-B13F-424E-8B2E-987729F859BD}"/>
              </a:ext>
            </a:extLst>
          </xdr:cNvPr>
          <xdr:cNvPicPr>
            <a:picLocks noChangeAspect="1"/>
          </xdr:cNvPicPr>
        </xdr:nvPicPr>
        <xdr:blipFill>
          <a:blip xmlns:r="http://schemas.openxmlformats.org/officeDocument/2006/relationships" r:embed="rId18" cstate="print">
            <a:duotone>
              <a:schemeClr val="bg2">
                <a:shade val="45000"/>
                <a:satMod val="135000"/>
              </a:schemeClr>
              <a:prstClr val="white"/>
            </a:duotone>
            <a:alphaModFix/>
            <a:extLst>
              <a:ext uri="{BEBA8EAE-BF5A-486C-A8C5-ECC9F3942E4B}">
                <a14:imgProps xmlns:a14="http://schemas.microsoft.com/office/drawing/2010/main">
                  <a14:imgLayer r:embed="rId19">
                    <a14:imgEffect>
                      <a14:artisticCrisscrossEtching/>
                    </a14:imgEffect>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2747552" y="1511463"/>
            <a:ext cx="199392" cy="229252"/>
          </a:xfrm>
          <a:prstGeom prst="rect">
            <a:avLst/>
          </a:prstGeom>
        </xdr:spPr>
      </xdr:pic>
    </xdr:grpSp>
    <xdr:clientData/>
  </xdr:twoCellAnchor>
  <xdr:twoCellAnchor editAs="oneCell">
    <xdr:from>
      <xdr:col>18</xdr:col>
      <xdr:colOff>100388</xdr:colOff>
      <xdr:row>5</xdr:row>
      <xdr:rowOff>62958</xdr:rowOff>
    </xdr:from>
    <xdr:to>
      <xdr:col>23</xdr:col>
      <xdr:colOff>363767</xdr:colOff>
      <xdr:row>7</xdr:row>
      <xdr:rowOff>148927</xdr:rowOff>
    </xdr:to>
    <mc:AlternateContent xmlns:mc="http://schemas.openxmlformats.org/markup-compatibility/2006" xmlns:a14="http://schemas.microsoft.com/office/drawing/2010/main">
      <mc:Choice Requires="a14">
        <xdr:graphicFrame macro="">
          <xdr:nvGraphicFramePr>
            <xdr:cNvPr id="344" name="Region">
              <a:extLst>
                <a:ext uri="{FF2B5EF4-FFF2-40B4-BE49-F238E27FC236}">
                  <a16:creationId xmlns:a16="http://schemas.microsoft.com/office/drawing/2014/main" id="{694B7113-71B3-43B5-B75F-4C7E750128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73188" y="988244"/>
              <a:ext cx="3311379" cy="456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492521</xdr:colOff>
      <xdr:row>5</xdr:row>
      <xdr:rowOff>62958</xdr:rowOff>
    </xdr:from>
    <xdr:to>
      <xdr:col>18</xdr:col>
      <xdr:colOff>150207</xdr:colOff>
      <xdr:row>7</xdr:row>
      <xdr:rowOff>148927</xdr:rowOff>
    </xdr:to>
    <mc:AlternateContent xmlns:mc="http://schemas.openxmlformats.org/markup-compatibility/2006" xmlns:a14="http://schemas.microsoft.com/office/drawing/2010/main">
      <mc:Choice Requires="a14">
        <xdr:graphicFrame macro="">
          <xdr:nvGraphicFramePr>
            <xdr:cNvPr id="345" name="Customer_Segment">
              <a:extLst>
                <a:ext uri="{FF2B5EF4-FFF2-40B4-BE49-F238E27FC236}">
                  <a16:creationId xmlns:a16="http://schemas.microsoft.com/office/drawing/2014/main" id="{D172F798-40B7-424D-8023-0A10E5C55871}"/>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7807721" y="988244"/>
              <a:ext cx="3315286" cy="456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153671</xdr:colOff>
      <xdr:row>7</xdr:row>
      <xdr:rowOff>111188</xdr:rowOff>
    </xdr:from>
    <xdr:to>
      <xdr:col>23</xdr:col>
      <xdr:colOff>275591</xdr:colOff>
      <xdr:row>14</xdr:row>
      <xdr:rowOff>33452</xdr:rowOff>
    </xdr:to>
    <xdr:grpSp>
      <xdr:nvGrpSpPr>
        <xdr:cNvPr id="277" name="Group 276">
          <a:extLst>
            <a:ext uri="{FF2B5EF4-FFF2-40B4-BE49-F238E27FC236}">
              <a16:creationId xmlns:a16="http://schemas.microsoft.com/office/drawing/2014/main" id="{24E06B7B-DA44-F6EB-69F6-BFD137057E31}"/>
            </a:ext>
          </a:extLst>
        </xdr:cNvPr>
        <xdr:cNvGrpSpPr/>
      </xdr:nvGrpSpPr>
      <xdr:grpSpPr>
        <a:xfrm>
          <a:off x="4420871" y="1402577"/>
          <a:ext cx="9875520" cy="1213654"/>
          <a:chOff x="4342719" y="1508847"/>
          <a:chExt cx="9875520" cy="1225479"/>
        </a:xfrm>
      </xdr:grpSpPr>
      <xdr:sp macro="" textlink="">
        <xdr:nvSpPr>
          <xdr:cNvPr id="246" name="Rectangle: Rounded Corners 245">
            <a:extLst>
              <a:ext uri="{FF2B5EF4-FFF2-40B4-BE49-F238E27FC236}">
                <a16:creationId xmlns:a16="http://schemas.microsoft.com/office/drawing/2014/main" id="{719FC3D9-F8DE-FD06-BB0B-C449547341DB}"/>
              </a:ext>
            </a:extLst>
          </xdr:cNvPr>
          <xdr:cNvSpPr/>
        </xdr:nvSpPr>
        <xdr:spPr>
          <a:xfrm>
            <a:off x="4342719" y="1508847"/>
            <a:ext cx="9875520" cy="1225479"/>
          </a:xfrm>
          <a:prstGeom prst="roundRect">
            <a:avLst>
              <a:gd name="adj" fmla="val 11282"/>
            </a:avLst>
          </a:prstGeom>
          <a:solidFill>
            <a:srgbClr val="02403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47" name="Rectangle: Rounded Corners 246">
            <a:extLst>
              <a:ext uri="{FF2B5EF4-FFF2-40B4-BE49-F238E27FC236}">
                <a16:creationId xmlns:a16="http://schemas.microsoft.com/office/drawing/2014/main" id="{6496F2EC-2AE7-5379-4EB8-2C04382E70F1}"/>
              </a:ext>
            </a:extLst>
          </xdr:cNvPr>
          <xdr:cNvSpPr/>
        </xdr:nvSpPr>
        <xdr:spPr>
          <a:xfrm>
            <a:off x="4468578" y="1639642"/>
            <a:ext cx="2317942" cy="969389"/>
          </a:xfrm>
          <a:prstGeom prst="roundRect">
            <a:avLst>
              <a:gd name="adj" fmla="val 11282"/>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48" name="Rectangle: Rounded Corners 247">
            <a:extLst>
              <a:ext uri="{FF2B5EF4-FFF2-40B4-BE49-F238E27FC236}">
                <a16:creationId xmlns:a16="http://schemas.microsoft.com/office/drawing/2014/main" id="{46356D48-D847-E550-387B-84D596AC074C}"/>
              </a:ext>
            </a:extLst>
          </xdr:cNvPr>
          <xdr:cNvSpPr/>
        </xdr:nvSpPr>
        <xdr:spPr>
          <a:xfrm>
            <a:off x="6895475" y="1639642"/>
            <a:ext cx="2317942" cy="969389"/>
          </a:xfrm>
          <a:prstGeom prst="roundRect">
            <a:avLst>
              <a:gd name="adj" fmla="val 11282"/>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49" name="Rectangle: Rounded Corners 248">
            <a:extLst>
              <a:ext uri="{FF2B5EF4-FFF2-40B4-BE49-F238E27FC236}">
                <a16:creationId xmlns:a16="http://schemas.microsoft.com/office/drawing/2014/main" id="{1D8CCDC8-62DE-D963-5C45-17E9F1D18A60}"/>
              </a:ext>
            </a:extLst>
          </xdr:cNvPr>
          <xdr:cNvSpPr/>
        </xdr:nvSpPr>
        <xdr:spPr>
          <a:xfrm>
            <a:off x="9333537" y="1639642"/>
            <a:ext cx="2317942" cy="969389"/>
          </a:xfrm>
          <a:prstGeom prst="roundRect">
            <a:avLst>
              <a:gd name="adj" fmla="val 11282"/>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50" name="Rectangle: Rounded Corners 249">
            <a:extLst>
              <a:ext uri="{FF2B5EF4-FFF2-40B4-BE49-F238E27FC236}">
                <a16:creationId xmlns:a16="http://schemas.microsoft.com/office/drawing/2014/main" id="{E25F746B-1B89-A599-062B-368C5F4AF136}"/>
              </a:ext>
            </a:extLst>
          </xdr:cNvPr>
          <xdr:cNvSpPr/>
        </xdr:nvSpPr>
        <xdr:spPr>
          <a:xfrm>
            <a:off x="11771599" y="1639642"/>
            <a:ext cx="2317942" cy="969389"/>
          </a:xfrm>
          <a:prstGeom prst="roundRect">
            <a:avLst>
              <a:gd name="adj" fmla="val 11282"/>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56" name="Oval 255">
            <a:extLst>
              <a:ext uri="{FF2B5EF4-FFF2-40B4-BE49-F238E27FC236}">
                <a16:creationId xmlns:a16="http://schemas.microsoft.com/office/drawing/2014/main" id="{FB1E2FD2-1819-3DB6-D96F-3A5D4663D10E}"/>
              </a:ext>
            </a:extLst>
          </xdr:cNvPr>
          <xdr:cNvSpPr/>
        </xdr:nvSpPr>
        <xdr:spPr>
          <a:xfrm>
            <a:off x="4565981" y="1906352"/>
            <a:ext cx="365760" cy="365760"/>
          </a:xfrm>
          <a:prstGeom prst="ellipse">
            <a:avLst/>
          </a:prstGeom>
          <a:solidFill>
            <a:srgbClr val="02403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57" name="Oval 256">
            <a:extLst>
              <a:ext uri="{FF2B5EF4-FFF2-40B4-BE49-F238E27FC236}">
                <a16:creationId xmlns:a16="http://schemas.microsoft.com/office/drawing/2014/main" id="{E14E166F-8A8B-96F0-DF79-8E62B47B6380}"/>
              </a:ext>
            </a:extLst>
          </xdr:cNvPr>
          <xdr:cNvSpPr/>
        </xdr:nvSpPr>
        <xdr:spPr>
          <a:xfrm>
            <a:off x="7001276" y="1906352"/>
            <a:ext cx="365760" cy="365760"/>
          </a:xfrm>
          <a:prstGeom prst="ellipse">
            <a:avLst/>
          </a:prstGeom>
          <a:solidFill>
            <a:srgbClr val="02403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58" name="Oval 257">
            <a:extLst>
              <a:ext uri="{FF2B5EF4-FFF2-40B4-BE49-F238E27FC236}">
                <a16:creationId xmlns:a16="http://schemas.microsoft.com/office/drawing/2014/main" id="{04DC74BD-9EEF-87CF-8572-9C09B0255BFA}"/>
              </a:ext>
            </a:extLst>
          </xdr:cNvPr>
          <xdr:cNvSpPr/>
        </xdr:nvSpPr>
        <xdr:spPr>
          <a:xfrm>
            <a:off x="9430940" y="1906352"/>
            <a:ext cx="365760" cy="365760"/>
          </a:xfrm>
          <a:prstGeom prst="ellipse">
            <a:avLst/>
          </a:prstGeom>
          <a:solidFill>
            <a:srgbClr val="02403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59" name="Oval 258">
            <a:extLst>
              <a:ext uri="{FF2B5EF4-FFF2-40B4-BE49-F238E27FC236}">
                <a16:creationId xmlns:a16="http://schemas.microsoft.com/office/drawing/2014/main" id="{FBC3F21A-25AB-D135-B589-5A61357FAE4B}"/>
              </a:ext>
            </a:extLst>
          </xdr:cNvPr>
          <xdr:cNvSpPr/>
        </xdr:nvSpPr>
        <xdr:spPr>
          <a:xfrm>
            <a:off x="11866235" y="1906352"/>
            <a:ext cx="365760" cy="365760"/>
          </a:xfrm>
          <a:prstGeom prst="ellipse">
            <a:avLst/>
          </a:prstGeom>
          <a:solidFill>
            <a:srgbClr val="02403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pic>
        <xdr:nvPicPr>
          <xdr:cNvPr id="262" name="Picture 261">
            <a:extLst>
              <a:ext uri="{FF2B5EF4-FFF2-40B4-BE49-F238E27FC236}">
                <a16:creationId xmlns:a16="http://schemas.microsoft.com/office/drawing/2014/main" id="{5ECEF751-6AD2-6A08-1244-92833780B171}"/>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9513860" y="1973665"/>
            <a:ext cx="228600" cy="228600"/>
          </a:xfrm>
          <a:prstGeom prst="rect">
            <a:avLst/>
          </a:prstGeom>
        </xdr:spPr>
      </xdr:pic>
      <xdr:pic>
        <xdr:nvPicPr>
          <xdr:cNvPr id="263" name="Picture 262">
            <a:extLst>
              <a:ext uri="{FF2B5EF4-FFF2-40B4-BE49-F238E27FC236}">
                <a16:creationId xmlns:a16="http://schemas.microsoft.com/office/drawing/2014/main" id="{ABEC9E0B-C712-340A-67BA-7A544CE8DC21}"/>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4643319" y="1973665"/>
            <a:ext cx="228600" cy="228600"/>
          </a:xfrm>
          <a:prstGeom prst="rect">
            <a:avLst/>
          </a:prstGeom>
        </xdr:spPr>
      </xdr:pic>
      <xdr:pic>
        <xdr:nvPicPr>
          <xdr:cNvPr id="264" name="Picture 263">
            <a:extLst>
              <a:ext uri="{FF2B5EF4-FFF2-40B4-BE49-F238E27FC236}">
                <a16:creationId xmlns:a16="http://schemas.microsoft.com/office/drawing/2014/main" id="{6E4587CA-6AC9-E6F8-64F9-87B517057F76}"/>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7069856" y="1991746"/>
            <a:ext cx="228600" cy="228600"/>
          </a:xfrm>
          <a:prstGeom prst="rect">
            <a:avLst/>
          </a:prstGeom>
        </xdr:spPr>
      </xdr:pic>
      <xdr:pic>
        <xdr:nvPicPr>
          <xdr:cNvPr id="265" name="Picture 264">
            <a:extLst>
              <a:ext uri="{FF2B5EF4-FFF2-40B4-BE49-F238E27FC236}">
                <a16:creationId xmlns:a16="http://schemas.microsoft.com/office/drawing/2014/main" id="{E74A5CB5-3BBF-73BA-908D-29E9F61C66CF}"/>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1934815" y="1973665"/>
            <a:ext cx="228600" cy="228600"/>
          </a:xfrm>
          <a:prstGeom prst="rect">
            <a:avLst/>
          </a:prstGeom>
        </xdr:spPr>
      </xdr:pic>
      <xdr:sp macro="" textlink="">
        <xdr:nvSpPr>
          <xdr:cNvPr id="271" name="TextBox 53">
            <a:extLst>
              <a:ext uri="{FF2B5EF4-FFF2-40B4-BE49-F238E27FC236}">
                <a16:creationId xmlns:a16="http://schemas.microsoft.com/office/drawing/2014/main" id="{99FC6F66-F1FE-B255-5C42-F0F9C593C057}"/>
              </a:ext>
            </a:extLst>
          </xdr:cNvPr>
          <xdr:cNvSpPr txBox="1"/>
        </xdr:nvSpPr>
        <xdr:spPr>
          <a:xfrm>
            <a:off x="4528111" y="2284723"/>
            <a:ext cx="2163484" cy="246221"/>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000">
                <a:solidFill>
                  <a:sysClr val="window" lastClr="FFFFFF">
                    <a:lumMod val="85000"/>
                  </a:sysClr>
                </a:solidFill>
                <a:latin typeface="Arial" panose="020B0604020202020204" pitchFamily="34" charset="0"/>
                <a:cs typeface="Arial" panose="020B0604020202020204" pitchFamily="34" charset="0"/>
              </a:rPr>
              <a:t>Customers</a:t>
            </a:r>
          </a:p>
        </xdr:txBody>
      </xdr:sp>
      <xdr:sp macro="" textlink="">
        <xdr:nvSpPr>
          <xdr:cNvPr id="272" name="TextBox 55">
            <a:extLst>
              <a:ext uri="{FF2B5EF4-FFF2-40B4-BE49-F238E27FC236}">
                <a16:creationId xmlns:a16="http://schemas.microsoft.com/office/drawing/2014/main" id="{6C585FAB-EF7E-9AF7-ACD3-7C8144602D32}"/>
              </a:ext>
            </a:extLst>
          </xdr:cNvPr>
          <xdr:cNvSpPr txBox="1"/>
        </xdr:nvSpPr>
        <xdr:spPr>
          <a:xfrm>
            <a:off x="6968350" y="2284723"/>
            <a:ext cx="2163484" cy="246221"/>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r>
              <a:rPr lang="en-US" sz="1000" kern="1200">
                <a:solidFill>
                  <a:sysClr val="window" lastClr="FFFFFF">
                    <a:lumMod val="85000"/>
                  </a:sysClr>
                </a:solidFill>
                <a:latin typeface="Arial" panose="020B0604020202020204" pitchFamily="34" charset="0"/>
                <a:ea typeface="+mn-ea"/>
                <a:cs typeface="Arial" panose="020B0604020202020204" pitchFamily="34" charset="0"/>
              </a:rPr>
              <a:t>Average Age</a:t>
            </a:r>
          </a:p>
        </xdr:txBody>
      </xdr:sp>
      <xdr:sp macro="" textlink="">
        <xdr:nvSpPr>
          <xdr:cNvPr id="273" name="TextBox 56">
            <a:extLst>
              <a:ext uri="{FF2B5EF4-FFF2-40B4-BE49-F238E27FC236}">
                <a16:creationId xmlns:a16="http://schemas.microsoft.com/office/drawing/2014/main" id="{C9DBB86A-7447-C8E4-9606-17E6CB604403}"/>
              </a:ext>
            </a:extLst>
          </xdr:cNvPr>
          <xdr:cNvSpPr txBox="1"/>
        </xdr:nvSpPr>
        <xdr:spPr>
          <a:xfrm>
            <a:off x="9408589" y="2284723"/>
            <a:ext cx="2163484" cy="246221"/>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r>
              <a:rPr lang="en-US" sz="1000" kern="1200">
                <a:solidFill>
                  <a:sysClr val="window" lastClr="FFFFFF">
                    <a:lumMod val="85000"/>
                  </a:sysClr>
                </a:solidFill>
                <a:latin typeface="Arial" panose="020B0604020202020204" pitchFamily="34" charset="0"/>
                <a:ea typeface="+mn-ea"/>
                <a:cs typeface="Arial" panose="020B0604020202020204" pitchFamily="34" charset="0"/>
              </a:rPr>
              <a:t>Average Income</a:t>
            </a:r>
          </a:p>
        </xdr:txBody>
      </xdr:sp>
      <xdr:sp macro="" textlink="">
        <xdr:nvSpPr>
          <xdr:cNvPr id="274" name="TextBox 57">
            <a:extLst>
              <a:ext uri="{FF2B5EF4-FFF2-40B4-BE49-F238E27FC236}">
                <a16:creationId xmlns:a16="http://schemas.microsoft.com/office/drawing/2014/main" id="{255FC632-ABA6-E5A9-3220-1AA5F85E45CE}"/>
              </a:ext>
            </a:extLst>
          </xdr:cNvPr>
          <xdr:cNvSpPr txBox="1"/>
        </xdr:nvSpPr>
        <xdr:spPr>
          <a:xfrm>
            <a:off x="11848828" y="2284723"/>
            <a:ext cx="2163484" cy="246221"/>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r>
              <a:rPr lang="en-US" sz="1000" kern="1200">
                <a:solidFill>
                  <a:sysClr val="window" lastClr="FFFFFF">
                    <a:lumMod val="85000"/>
                  </a:sysClr>
                </a:solidFill>
                <a:latin typeface="Arial" panose="020B0604020202020204" pitchFamily="34" charset="0"/>
                <a:ea typeface="+mn-ea"/>
                <a:cs typeface="Arial" panose="020B0604020202020204" pitchFamily="34" charset="0"/>
              </a:rPr>
              <a:t>Average Tenure (Yrs)</a:t>
            </a:r>
          </a:p>
        </xdr:txBody>
      </xdr:sp>
    </xdr:grpSp>
    <xdr:clientData/>
  </xdr:twoCellAnchor>
  <xdr:twoCellAnchor>
    <xdr:from>
      <xdr:col>12</xdr:col>
      <xdr:colOff>202517</xdr:colOff>
      <xdr:row>9</xdr:row>
      <xdr:rowOff>101419</xdr:rowOff>
    </xdr:from>
    <xdr:to>
      <xdr:col>14</xdr:col>
      <xdr:colOff>194050</xdr:colOff>
      <xdr:row>11</xdr:row>
      <xdr:rowOff>98217</xdr:rowOff>
    </xdr:to>
    <xdr:sp macro="" textlink="avgage">
      <xdr:nvSpPr>
        <xdr:cNvPr id="346" name="TextBox 27">
          <a:extLst>
            <a:ext uri="{FF2B5EF4-FFF2-40B4-BE49-F238E27FC236}">
              <a16:creationId xmlns:a16="http://schemas.microsoft.com/office/drawing/2014/main" id="{35A62A98-5896-45BD-BAC1-5B4E6BC66F5A}"/>
            </a:ext>
          </a:extLst>
        </xdr:cNvPr>
        <xdr:cNvSpPr txBox="1"/>
      </xdr:nvSpPr>
      <xdr:spPr>
        <a:xfrm>
          <a:off x="7470825" y="1771957"/>
          <a:ext cx="1202917" cy="368029"/>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0C5C1786-76B6-4ACE-86AB-702DB9D08C26}" type="TxLink">
            <a:rPr lang="en-US" sz="2800" b="0" i="0" u="none" strike="noStrike" kern="1200">
              <a:solidFill>
                <a:sysClr val="window" lastClr="FFFFFF">
                  <a:lumMod val="85000"/>
                </a:sysClr>
              </a:solidFill>
              <a:latin typeface="Arial" panose="020B0604020202020204" pitchFamily="34" charset="0"/>
              <a:ea typeface="+mn-ea"/>
              <a:cs typeface="Arial" panose="020B0604020202020204" pitchFamily="34" charset="0"/>
            </a:rPr>
            <a:pPr marL="0" indent="0" algn="ctr" defTabSz="914400" rtl="0" eaLnBrk="1" latinLnBrk="0" hangingPunct="1"/>
            <a:t>46</a:t>
          </a:fld>
          <a:endParaRPr lang="en-US" sz="2800" kern="1200">
            <a:solidFill>
              <a:sysClr val="window" lastClr="FFFFFF">
                <a:lumMod val="85000"/>
              </a:sysClr>
            </a:solidFill>
            <a:latin typeface="Arial" panose="020B0604020202020204" pitchFamily="34" charset="0"/>
            <a:ea typeface="+mn-ea"/>
            <a:cs typeface="Arial" panose="020B0604020202020204" pitchFamily="34" charset="0"/>
          </a:endParaRPr>
        </a:p>
      </xdr:txBody>
    </xdr:sp>
    <xdr:clientData/>
  </xdr:twoCellAnchor>
  <xdr:twoCellAnchor>
    <xdr:from>
      <xdr:col>8</xdr:col>
      <xdr:colOff>222056</xdr:colOff>
      <xdr:row>9</xdr:row>
      <xdr:rowOff>101419</xdr:rowOff>
    </xdr:from>
    <xdr:to>
      <xdr:col>10</xdr:col>
      <xdr:colOff>213589</xdr:colOff>
      <xdr:row>11</xdr:row>
      <xdr:rowOff>98217</xdr:rowOff>
    </xdr:to>
    <xdr:sp macro="" textlink="totalcustomer">
      <xdr:nvSpPr>
        <xdr:cNvPr id="347" name="TextBox 27">
          <a:extLst>
            <a:ext uri="{FF2B5EF4-FFF2-40B4-BE49-F238E27FC236}">
              <a16:creationId xmlns:a16="http://schemas.microsoft.com/office/drawing/2014/main" id="{86A07D20-9B7A-45A0-A188-9206C9AA6B4E}"/>
            </a:ext>
          </a:extLst>
        </xdr:cNvPr>
        <xdr:cNvSpPr txBox="1"/>
      </xdr:nvSpPr>
      <xdr:spPr>
        <a:xfrm>
          <a:off x="5067594" y="1771957"/>
          <a:ext cx="1202918" cy="368029"/>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44413759-9081-43E7-8691-F71498ED0B74}" type="TxLink">
            <a:rPr lang="en-US" sz="2800" b="0" i="0" u="none" strike="noStrike" kern="1200">
              <a:solidFill>
                <a:sysClr val="window" lastClr="FFFFFF">
                  <a:lumMod val="85000"/>
                </a:sysClr>
              </a:solidFill>
              <a:latin typeface="Arial" panose="020B0604020202020204" pitchFamily="34" charset="0"/>
              <a:ea typeface="+mn-ea"/>
              <a:cs typeface="Arial" panose="020B0604020202020204" pitchFamily="34" charset="0"/>
            </a:rPr>
            <a:pPr marL="0" indent="0" algn="ctr" defTabSz="914400" rtl="0" eaLnBrk="1" latinLnBrk="0" hangingPunct="1"/>
            <a:t>500</a:t>
          </a:fld>
          <a:endParaRPr lang="en-US" sz="2800" kern="1200">
            <a:solidFill>
              <a:sysClr val="window" lastClr="FFFFFF">
                <a:lumMod val="85000"/>
              </a:sysClr>
            </a:solidFill>
            <a:latin typeface="Arial" panose="020B0604020202020204" pitchFamily="34" charset="0"/>
            <a:ea typeface="+mn-ea"/>
            <a:cs typeface="Arial" panose="020B0604020202020204" pitchFamily="34" charset="0"/>
          </a:endParaRPr>
        </a:p>
      </xdr:txBody>
    </xdr:sp>
    <xdr:clientData/>
  </xdr:twoCellAnchor>
  <xdr:twoCellAnchor>
    <xdr:from>
      <xdr:col>16</xdr:col>
      <xdr:colOff>60344</xdr:colOff>
      <xdr:row>9</xdr:row>
      <xdr:rowOff>101419</xdr:rowOff>
    </xdr:from>
    <xdr:to>
      <xdr:col>18</xdr:col>
      <xdr:colOff>488236</xdr:colOff>
      <xdr:row>12</xdr:row>
      <xdr:rowOff>25250</xdr:rowOff>
    </xdr:to>
    <xdr:sp macro="" textlink="avgincome">
      <xdr:nvSpPr>
        <xdr:cNvPr id="348" name="TextBox 27">
          <a:extLst>
            <a:ext uri="{FF2B5EF4-FFF2-40B4-BE49-F238E27FC236}">
              <a16:creationId xmlns:a16="http://schemas.microsoft.com/office/drawing/2014/main" id="{BD680397-9B05-4A28-A46D-CA8BFC76DE58}"/>
            </a:ext>
          </a:extLst>
        </xdr:cNvPr>
        <xdr:cNvSpPr txBox="1"/>
      </xdr:nvSpPr>
      <xdr:spPr>
        <a:xfrm>
          <a:off x="9751421" y="1771957"/>
          <a:ext cx="1639277" cy="480678"/>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461938FD-E351-4EC8-91B9-020F558EBB59}" type="TxLink">
            <a:rPr lang="en-US" sz="2800" b="0" i="0" u="none" strike="noStrike" kern="1200">
              <a:solidFill>
                <a:sysClr val="window" lastClr="FFFFFF">
                  <a:lumMod val="85000"/>
                </a:sysClr>
              </a:solidFill>
              <a:latin typeface="Arial" panose="020B0604020202020204" pitchFamily="34" charset="0"/>
              <a:ea typeface="+mn-ea"/>
              <a:cs typeface="Arial" panose="020B0604020202020204" pitchFamily="34" charset="0"/>
            </a:rPr>
            <a:pPr marL="0" indent="0" algn="ctr" defTabSz="914400" rtl="0" eaLnBrk="1" latinLnBrk="0" hangingPunct="1"/>
            <a:t>$114.4K</a:t>
          </a:fld>
          <a:endParaRPr lang="en-US" sz="2800" kern="1200">
            <a:solidFill>
              <a:sysClr val="window" lastClr="FFFFFF">
                <a:lumMod val="85000"/>
              </a:sysClr>
            </a:solidFill>
            <a:latin typeface="Arial" panose="020B0604020202020204" pitchFamily="34" charset="0"/>
            <a:ea typeface="+mn-ea"/>
            <a:cs typeface="Arial" panose="020B0604020202020204" pitchFamily="34" charset="0"/>
          </a:endParaRPr>
        </a:p>
      </xdr:txBody>
    </xdr:sp>
    <xdr:clientData/>
  </xdr:twoCellAnchor>
  <xdr:twoCellAnchor>
    <xdr:from>
      <xdr:col>20</xdr:col>
      <xdr:colOff>222056</xdr:colOff>
      <xdr:row>9</xdr:row>
      <xdr:rowOff>101419</xdr:rowOff>
    </xdr:from>
    <xdr:to>
      <xdr:col>22</xdr:col>
      <xdr:colOff>213589</xdr:colOff>
      <xdr:row>11</xdr:row>
      <xdr:rowOff>98217</xdr:rowOff>
    </xdr:to>
    <xdr:sp macro="" textlink="tenure">
      <xdr:nvSpPr>
        <xdr:cNvPr id="349" name="TextBox 27">
          <a:extLst>
            <a:ext uri="{FF2B5EF4-FFF2-40B4-BE49-F238E27FC236}">
              <a16:creationId xmlns:a16="http://schemas.microsoft.com/office/drawing/2014/main" id="{C00BEAD2-5183-4B76-8946-FCACA519F051}"/>
            </a:ext>
          </a:extLst>
        </xdr:cNvPr>
        <xdr:cNvSpPr txBox="1"/>
      </xdr:nvSpPr>
      <xdr:spPr>
        <a:xfrm>
          <a:off x="12335902" y="1771957"/>
          <a:ext cx="1202918" cy="368029"/>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B77F5250-8566-4884-9D14-7E275FDBAB56}" type="TxLink">
            <a:rPr lang="en-US" sz="2800" b="0" i="0" u="none" strike="noStrike" kern="1200">
              <a:solidFill>
                <a:sysClr val="window" lastClr="FFFFFF">
                  <a:lumMod val="85000"/>
                </a:sysClr>
              </a:solidFill>
              <a:latin typeface="Arial" panose="020B0604020202020204" pitchFamily="34" charset="0"/>
              <a:ea typeface="+mn-ea"/>
              <a:cs typeface="Arial" panose="020B0604020202020204" pitchFamily="34" charset="0"/>
            </a:rPr>
            <a:pPr marL="0" indent="0" algn="ctr" defTabSz="914400" rtl="0" eaLnBrk="1" latinLnBrk="0" hangingPunct="1"/>
            <a:t>5</a:t>
          </a:fld>
          <a:endParaRPr lang="en-US" sz="2800" kern="1200">
            <a:solidFill>
              <a:sysClr val="window" lastClr="FFFFFF">
                <a:lumMod val="85000"/>
              </a:sysClr>
            </a:solidFill>
            <a:latin typeface="Arial" panose="020B0604020202020204" pitchFamily="34" charset="0"/>
            <a:ea typeface="+mn-ea"/>
            <a:cs typeface="Arial" panose="020B0604020202020204" pitchFamily="34" charset="0"/>
          </a:endParaRPr>
        </a:p>
      </xdr:txBody>
    </xdr:sp>
    <xdr:clientData/>
  </xdr:twoCellAnchor>
  <xdr:twoCellAnchor editAs="oneCell">
    <xdr:from>
      <xdr:col>4</xdr:col>
      <xdr:colOff>164377</xdr:colOff>
      <xdr:row>1</xdr:row>
      <xdr:rowOff>21772</xdr:rowOff>
    </xdr:from>
    <xdr:to>
      <xdr:col>6</xdr:col>
      <xdr:colOff>490948</xdr:colOff>
      <xdr:row>6</xdr:row>
      <xdr:rowOff>122197</xdr:rowOff>
    </xdr:to>
    <xdr:pic>
      <xdr:nvPicPr>
        <xdr:cNvPr id="3" name="Picture 2">
          <a:extLst>
            <a:ext uri="{FF2B5EF4-FFF2-40B4-BE49-F238E27FC236}">
              <a16:creationId xmlns:a16="http://schemas.microsoft.com/office/drawing/2014/main" id="{85CD1C4D-2968-4971-9671-A8807838ADDB}"/>
            </a:ext>
          </a:extLst>
        </xdr:cNvPr>
        <xdr:cNvPicPr>
          <a:picLocks noChangeAspect="1"/>
        </xdr:cNvPicPr>
      </xdr:nvPicPr>
      <xdr:blipFill>
        <a:blip xmlns:r="http://schemas.openxmlformats.org/officeDocument/2006/relationships" r:embed="rId24" cstate="print">
          <a:duotone>
            <a:prstClr val="black"/>
            <a:srgbClr val="02403D">
              <a:tint val="45000"/>
              <a:satMod val="400000"/>
            </a:srgbClr>
          </a:duotone>
          <a:extLst>
            <a:ext uri="{28A0092B-C50C-407E-A947-70E740481C1C}">
              <a14:useLocalDpi xmlns:a14="http://schemas.microsoft.com/office/drawing/2010/main" val="0"/>
            </a:ext>
          </a:extLst>
        </a:blip>
        <a:stretch>
          <a:fillRect/>
        </a:stretch>
      </xdr:blipFill>
      <xdr:spPr>
        <a:xfrm>
          <a:off x="2602777" y="206829"/>
          <a:ext cx="1545771" cy="10257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110155</xdr:colOff>
      <xdr:row>1</xdr:row>
      <xdr:rowOff>100669</xdr:rowOff>
    </xdr:from>
    <xdr:to>
      <xdr:col>23</xdr:col>
      <xdr:colOff>460675</xdr:colOff>
      <xdr:row>37</xdr:row>
      <xdr:rowOff>63092</xdr:rowOff>
    </xdr:to>
    <xdr:sp macro="" textlink="">
      <xdr:nvSpPr>
        <xdr:cNvPr id="3" name="Rectangle: Rounded Corners 2">
          <a:extLst>
            <a:ext uri="{FF2B5EF4-FFF2-40B4-BE49-F238E27FC236}">
              <a16:creationId xmlns:a16="http://schemas.microsoft.com/office/drawing/2014/main" id="{1CA3ADF8-BFA3-5765-8FAC-D527AFC20107}"/>
            </a:ext>
          </a:extLst>
        </xdr:cNvPr>
        <xdr:cNvSpPr/>
      </xdr:nvSpPr>
      <xdr:spPr>
        <a:xfrm>
          <a:off x="2532924" y="286284"/>
          <a:ext cx="11858674" cy="6644577"/>
        </a:xfrm>
        <a:prstGeom prst="roundRect">
          <a:avLst>
            <a:gd name="adj" fmla="val 4229"/>
          </a:avLst>
        </a:prstGeom>
        <a:solidFill>
          <a:srgbClr val="F0F0F0"/>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4</xdr:col>
      <xdr:colOff>78152</xdr:colOff>
      <xdr:row>1</xdr:row>
      <xdr:rowOff>89715</xdr:rowOff>
    </xdr:from>
    <xdr:to>
      <xdr:col>7</xdr:col>
      <xdr:colOff>20086</xdr:colOff>
      <xdr:row>37</xdr:row>
      <xdr:rowOff>61842</xdr:rowOff>
    </xdr:to>
    <xdr:sp macro="" textlink="">
      <xdr:nvSpPr>
        <xdr:cNvPr id="4" name="Rectangle: Top Corners Rounded 3">
          <a:extLst>
            <a:ext uri="{FF2B5EF4-FFF2-40B4-BE49-F238E27FC236}">
              <a16:creationId xmlns:a16="http://schemas.microsoft.com/office/drawing/2014/main" id="{E297BCA6-3664-4924-F4DC-8FACE5AFFA33}"/>
            </a:ext>
          </a:extLst>
        </xdr:cNvPr>
        <xdr:cNvSpPr/>
      </xdr:nvSpPr>
      <xdr:spPr>
        <a:xfrm rot="16200000">
          <a:off x="53286" y="2722965"/>
          <a:ext cx="6654281" cy="1759011"/>
        </a:xfrm>
        <a:prstGeom prst="round2SameRect">
          <a:avLst>
            <a:gd name="adj1" fmla="val 17023"/>
            <a:gd name="adj2" fmla="val 0"/>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7</xdr:col>
      <xdr:colOff>153671</xdr:colOff>
      <xdr:row>5</xdr:row>
      <xdr:rowOff>66257</xdr:rowOff>
    </xdr:from>
    <xdr:to>
      <xdr:col>23</xdr:col>
      <xdr:colOff>275591</xdr:colOff>
      <xdr:row>5</xdr:row>
      <xdr:rowOff>66257</xdr:rowOff>
    </xdr:to>
    <xdr:cxnSp macro="">
      <xdr:nvCxnSpPr>
        <xdr:cNvPr id="5" name="Straight Connector 4">
          <a:extLst>
            <a:ext uri="{FF2B5EF4-FFF2-40B4-BE49-F238E27FC236}">
              <a16:creationId xmlns:a16="http://schemas.microsoft.com/office/drawing/2014/main" id="{8B55D9DB-75AC-E4E8-23B4-00133498D763}"/>
            </a:ext>
          </a:extLst>
        </xdr:cNvPr>
        <xdr:cNvCxnSpPr>
          <a:cxnSpLocks/>
        </xdr:cNvCxnSpPr>
      </xdr:nvCxnSpPr>
      <xdr:spPr>
        <a:xfrm>
          <a:off x="4393517" y="994334"/>
          <a:ext cx="9812997" cy="0"/>
        </a:xfrm>
        <a:prstGeom prst="line">
          <a:avLst/>
        </a:prstGeom>
        <a:noFill/>
        <a:ln w="12700" cap="flat" cmpd="sng" algn="ctr">
          <a:solidFill>
            <a:sysClr val="window" lastClr="FFFFFF">
              <a:lumMod val="65000"/>
            </a:sysClr>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153670</xdr:colOff>
      <xdr:row>14</xdr:row>
      <xdr:rowOff>123291</xdr:rowOff>
    </xdr:from>
    <xdr:to>
      <xdr:col>12</xdr:col>
      <xdr:colOff>354075</xdr:colOff>
      <xdr:row>23</xdr:row>
      <xdr:rowOff>173182</xdr:rowOff>
    </xdr:to>
    <xdr:sp macro="" textlink="">
      <xdr:nvSpPr>
        <xdr:cNvPr id="6" name="Rectangle: Rounded Corners 5">
          <a:extLst>
            <a:ext uri="{FF2B5EF4-FFF2-40B4-BE49-F238E27FC236}">
              <a16:creationId xmlns:a16="http://schemas.microsoft.com/office/drawing/2014/main" id="{F3AB1312-8595-9E6F-453B-1F5B0023547A}"/>
            </a:ext>
          </a:extLst>
        </xdr:cNvPr>
        <xdr:cNvSpPr/>
      </xdr:nvSpPr>
      <xdr:spPr>
        <a:xfrm>
          <a:off x="4393516" y="2721906"/>
          <a:ext cx="3228867" cy="1720430"/>
        </a:xfrm>
        <a:prstGeom prst="roundRect">
          <a:avLst>
            <a:gd name="adj" fmla="val 8072"/>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12</xdr:col>
      <xdr:colOff>469633</xdr:colOff>
      <xdr:row>14</xdr:row>
      <xdr:rowOff>123291</xdr:rowOff>
    </xdr:from>
    <xdr:to>
      <xdr:col>17</xdr:col>
      <xdr:colOff>502676</xdr:colOff>
      <xdr:row>23</xdr:row>
      <xdr:rowOff>173182</xdr:rowOff>
    </xdr:to>
    <xdr:sp macro="" textlink="">
      <xdr:nvSpPr>
        <xdr:cNvPr id="7" name="Rectangle: Rounded Corners 6">
          <a:extLst>
            <a:ext uri="{FF2B5EF4-FFF2-40B4-BE49-F238E27FC236}">
              <a16:creationId xmlns:a16="http://schemas.microsoft.com/office/drawing/2014/main" id="{AEF6DB4D-4BDE-0E49-4E15-BF5E4667B8C7}"/>
            </a:ext>
          </a:extLst>
        </xdr:cNvPr>
        <xdr:cNvSpPr/>
      </xdr:nvSpPr>
      <xdr:spPr>
        <a:xfrm>
          <a:off x="7737941" y="2721906"/>
          <a:ext cx="3061504" cy="1720430"/>
        </a:xfrm>
        <a:prstGeom prst="roundRect">
          <a:avLst>
            <a:gd name="adj" fmla="val 8339"/>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18</xdr:col>
      <xdr:colOff>12542</xdr:colOff>
      <xdr:row>14</xdr:row>
      <xdr:rowOff>123291</xdr:rowOff>
    </xdr:from>
    <xdr:to>
      <xdr:col>23</xdr:col>
      <xdr:colOff>275591</xdr:colOff>
      <xdr:row>23</xdr:row>
      <xdr:rowOff>173182</xdr:rowOff>
    </xdr:to>
    <xdr:sp macro="" textlink="">
      <xdr:nvSpPr>
        <xdr:cNvPr id="8" name="Rectangle: Rounded Corners 7">
          <a:extLst>
            <a:ext uri="{FF2B5EF4-FFF2-40B4-BE49-F238E27FC236}">
              <a16:creationId xmlns:a16="http://schemas.microsoft.com/office/drawing/2014/main" id="{4F2A1042-58A1-643A-4AC9-B9AC7801AB86}"/>
            </a:ext>
          </a:extLst>
        </xdr:cNvPr>
        <xdr:cNvSpPr/>
      </xdr:nvSpPr>
      <xdr:spPr>
        <a:xfrm>
          <a:off x="10915004" y="2721906"/>
          <a:ext cx="3291510" cy="1720430"/>
        </a:xfrm>
        <a:prstGeom prst="roundRect">
          <a:avLst>
            <a:gd name="adj" fmla="val 5397"/>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7</xdr:col>
      <xdr:colOff>153670</xdr:colOff>
      <xdr:row>24</xdr:row>
      <xdr:rowOff>75819</xdr:rowOff>
    </xdr:from>
    <xdr:to>
      <xdr:col>14</xdr:col>
      <xdr:colOff>257766</xdr:colOff>
      <xdr:row>36</xdr:row>
      <xdr:rowOff>92481</xdr:rowOff>
    </xdr:to>
    <xdr:sp macro="" textlink="">
      <xdr:nvSpPr>
        <xdr:cNvPr id="9" name="Rectangle: Rounded Corners 8">
          <a:extLst>
            <a:ext uri="{FF2B5EF4-FFF2-40B4-BE49-F238E27FC236}">
              <a16:creationId xmlns:a16="http://schemas.microsoft.com/office/drawing/2014/main" id="{582ED815-EA7C-4901-431D-37528A24A4B5}"/>
            </a:ext>
          </a:extLst>
        </xdr:cNvPr>
        <xdr:cNvSpPr/>
      </xdr:nvSpPr>
      <xdr:spPr>
        <a:xfrm>
          <a:off x="4393516" y="4530588"/>
          <a:ext cx="4343942" cy="2244047"/>
        </a:xfrm>
        <a:prstGeom prst="roundRect">
          <a:avLst>
            <a:gd name="adj" fmla="val 5817"/>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14</xdr:col>
      <xdr:colOff>380506</xdr:colOff>
      <xdr:row>24</xdr:row>
      <xdr:rowOff>75819</xdr:rowOff>
    </xdr:from>
    <xdr:to>
      <xdr:col>23</xdr:col>
      <xdr:colOff>305670</xdr:colOff>
      <xdr:row>36</xdr:row>
      <xdr:rowOff>100947</xdr:rowOff>
    </xdr:to>
    <xdr:sp macro="" textlink="">
      <xdr:nvSpPr>
        <xdr:cNvPr id="10" name="Rectangle: Rounded Corners 9">
          <a:extLst>
            <a:ext uri="{FF2B5EF4-FFF2-40B4-BE49-F238E27FC236}">
              <a16:creationId xmlns:a16="http://schemas.microsoft.com/office/drawing/2014/main" id="{B353A5F9-C097-D80C-3A15-4E830EDDD57B}"/>
            </a:ext>
          </a:extLst>
        </xdr:cNvPr>
        <xdr:cNvSpPr/>
      </xdr:nvSpPr>
      <xdr:spPr>
        <a:xfrm>
          <a:off x="8860198" y="4530588"/>
          <a:ext cx="5376395" cy="2252513"/>
        </a:xfrm>
        <a:prstGeom prst="roundRect">
          <a:avLst>
            <a:gd name="adj" fmla="val 4930"/>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7</xdr:col>
      <xdr:colOff>144961</xdr:colOff>
      <xdr:row>2</xdr:row>
      <xdr:rowOff>16899</xdr:rowOff>
    </xdr:from>
    <xdr:to>
      <xdr:col>13</xdr:col>
      <xdr:colOff>432771</xdr:colOff>
      <xdr:row>4</xdr:row>
      <xdr:rowOff>13698</xdr:rowOff>
    </xdr:to>
    <xdr:sp macro="" textlink="">
      <xdr:nvSpPr>
        <xdr:cNvPr id="11" name="TextBox 27">
          <a:extLst>
            <a:ext uri="{FF2B5EF4-FFF2-40B4-BE49-F238E27FC236}">
              <a16:creationId xmlns:a16="http://schemas.microsoft.com/office/drawing/2014/main" id="{B96B85C1-D038-2C70-288A-CB201A652999}"/>
            </a:ext>
          </a:extLst>
        </xdr:cNvPr>
        <xdr:cNvSpPr txBox="1"/>
      </xdr:nvSpPr>
      <xdr:spPr>
        <a:xfrm>
          <a:off x="4384807" y="388130"/>
          <a:ext cx="3921964" cy="368030"/>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b="1">
              <a:solidFill>
                <a:sysClr val="window" lastClr="FFFFFF">
                  <a:lumMod val="50000"/>
                </a:sysClr>
              </a:solidFill>
              <a:latin typeface="Arial" panose="020B0604020202020204" pitchFamily="34" charset="0"/>
              <a:cs typeface="Arial" panose="020B0604020202020204" pitchFamily="34" charset="0"/>
            </a:rPr>
            <a:t>Who Are Our Customer?</a:t>
          </a:r>
        </a:p>
      </xdr:txBody>
    </xdr:sp>
    <xdr:clientData/>
  </xdr:twoCellAnchor>
  <xdr:twoCellAnchor>
    <xdr:from>
      <xdr:col>7</xdr:col>
      <xdr:colOff>159128</xdr:colOff>
      <xdr:row>14</xdr:row>
      <xdr:rowOff>134126</xdr:rowOff>
    </xdr:from>
    <xdr:to>
      <xdr:col>11</xdr:col>
      <xdr:colOff>218984</xdr:colOff>
      <xdr:row>16</xdr:row>
      <xdr:rowOff>39588</xdr:rowOff>
    </xdr:to>
    <xdr:sp macro="" textlink="">
      <xdr:nvSpPr>
        <xdr:cNvPr id="13" name="TextBox 48">
          <a:extLst>
            <a:ext uri="{FF2B5EF4-FFF2-40B4-BE49-F238E27FC236}">
              <a16:creationId xmlns:a16="http://schemas.microsoft.com/office/drawing/2014/main" id="{CF61174F-91E7-AAAB-23E6-90F1AC7DB293}"/>
            </a:ext>
          </a:extLst>
        </xdr:cNvPr>
        <xdr:cNvSpPr txBox="1"/>
      </xdr:nvSpPr>
      <xdr:spPr>
        <a:xfrm>
          <a:off x="4398974" y="2732741"/>
          <a:ext cx="2482625" cy="276693"/>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200">
              <a:solidFill>
                <a:sysClr val="window" lastClr="FFFFFF">
                  <a:lumMod val="50000"/>
                </a:sysClr>
              </a:solidFill>
              <a:latin typeface="Arial" panose="020B0604020202020204" pitchFamily="34" charset="0"/>
              <a:cs typeface="Arial" panose="020B0604020202020204" pitchFamily="34" charset="0"/>
            </a:rPr>
            <a:t>Customer by</a:t>
          </a:r>
          <a:r>
            <a:rPr lang="en-US" sz="1200" baseline="0">
              <a:solidFill>
                <a:sysClr val="window" lastClr="FFFFFF">
                  <a:lumMod val="50000"/>
                </a:sysClr>
              </a:solidFill>
              <a:latin typeface="Arial" panose="020B0604020202020204" pitchFamily="34" charset="0"/>
              <a:cs typeface="Arial" panose="020B0604020202020204" pitchFamily="34" charset="0"/>
            </a:rPr>
            <a:t> Gener</a:t>
          </a:r>
          <a:r>
            <a:rPr lang="en-US" sz="1200">
              <a:solidFill>
                <a:sysClr val="window" lastClr="FFFFFF">
                  <a:lumMod val="50000"/>
                </a:sysClr>
              </a:solidFill>
              <a:latin typeface="Arial" panose="020B0604020202020204" pitchFamily="34" charset="0"/>
              <a:cs typeface="Arial" panose="020B0604020202020204" pitchFamily="34" charset="0"/>
            </a:rPr>
            <a:t>ation</a:t>
          </a:r>
        </a:p>
      </xdr:txBody>
    </xdr:sp>
    <xdr:clientData/>
  </xdr:twoCellAnchor>
  <xdr:twoCellAnchor>
    <xdr:from>
      <xdr:col>12</xdr:col>
      <xdr:colOff>469633</xdr:colOff>
      <xdr:row>14</xdr:row>
      <xdr:rowOff>160053</xdr:rowOff>
    </xdr:from>
    <xdr:to>
      <xdr:col>16</xdr:col>
      <xdr:colOff>529489</xdr:colOff>
      <xdr:row>16</xdr:row>
      <xdr:rowOff>64518</xdr:rowOff>
    </xdr:to>
    <xdr:sp macro="" textlink="">
      <xdr:nvSpPr>
        <xdr:cNvPr id="14" name="TextBox 49">
          <a:extLst>
            <a:ext uri="{FF2B5EF4-FFF2-40B4-BE49-F238E27FC236}">
              <a16:creationId xmlns:a16="http://schemas.microsoft.com/office/drawing/2014/main" id="{DEA4406C-15B4-D1DD-BD97-B9E1A245918A}"/>
            </a:ext>
          </a:extLst>
        </xdr:cNvPr>
        <xdr:cNvSpPr txBox="1"/>
      </xdr:nvSpPr>
      <xdr:spPr>
        <a:xfrm>
          <a:off x="7737941" y="2758668"/>
          <a:ext cx="2482625" cy="275696"/>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200">
              <a:solidFill>
                <a:sysClr val="window" lastClr="FFFFFF">
                  <a:lumMod val="50000"/>
                </a:sysClr>
              </a:solidFill>
              <a:latin typeface="Arial" panose="020B0604020202020204" pitchFamily="34" charset="0"/>
              <a:cs typeface="Arial" panose="020B0604020202020204" pitchFamily="34" charset="0"/>
            </a:rPr>
            <a:t>Customer Loyalty Segmentation</a:t>
          </a:r>
        </a:p>
      </xdr:txBody>
    </xdr:sp>
    <xdr:clientData/>
  </xdr:twoCellAnchor>
  <xdr:twoCellAnchor>
    <xdr:from>
      <xdr:col>7</xdr:col>
      <xdr:colOff>159128</xdr:colOff>
      <xdr:row>24</xdr:row>
      <xdr:rowOff>89957</xdr:rowOff>
    </xdr:from>
    <xdr:to>
      <xdr:col>11</xdr:col>
      <xdr:colOff>218984</xdr:colOff>
      <xdr:row>25</xdr:row>
      <xdr:rowOff>178642</xdr:rowOff>
    </xdr:to>
    <xdr:sp macro="" textlink="">
      <xdr:nvSpPr>
        <xdr:cNvPr id="15" name="TextBox 50">
          <a:extLst>
            <a:ext uri="{FF2B5EF4-FFF2-40B4-BE49-F238E27FC236}">
              <a16:creationId xmlns:a16="http://schemas.microsoft.com/office/drawing/2014/main" id="{6C5FD9A9-AB50-5780-3EB9-4F731C3D6CCD}"/>
            </a:ext>
          </a:extLst>
        </xdr:cNvPr>
        <xdr:cNvSpPr txBox="1"/>
      </xdr:nvSpPr>
      <xdr:spPr>
        <a:xfrm>
          <a:off x="4398974" y="4544726"/>
          <a:ext cx="2482625" cy="274301"/>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200">
              <a:solidFill>
                <a:sysClr val="window" lastClr="FFFFFF">
                  <a:lumMod val="50000"/>
                </a:sysClr>
              </a:solidFill>
              <a:latin typeface="Arial" panose="020B0604020202020204" pitchFamily="34" charset="0"/>
              <a:cs typeface="Arial" panose="020B0604020202020204" pitchFamily="34" charset="0"/>
            </a:rPr>
            <a:t>Customer Growth Timeline</a:t>
          </a:r>
        </a:p>
      </xdr:txBody>
    </xdr:sp>
    <xdr:clientData/>
  </xdr:twoCellAnchor>
  <xdr:twoCellAnchor>
    <xdr:from>
      <xdr:col>14</xdr:col>
      <xdr:colOff>350426</xdr:colOff>
      <xdr:row>24</xdr:row>
      <xdr:rowOff>89957</xdr:rowOff>
    </xdr:from>
    <xdr:to>
      <xdr:col>20</xdr:col>
      <xdr:colOff>360901</xdr:colOff>
      <xdr:row>25</xdr:row>
      <xdr:rowOff>178642</xdr:rowOff>
    </xdr:to>
    <xdr:sp macro="" textlink="">
      <xdr:nvSpPr>
        <xdr:cNvPr id="16" name="TextBox 51">
          <a:extLst>
            <a:ext uri="{FF2B5EF4-FFF2-40B4-BE49-F238E27FC236}">
              <a16:creationId xmlns:a16="http://schemas.microsoft.com/office/drawing/2014/main" id="{2A06898B-A209-2361-9B69-0D05CB2BFA50}"/>
            </a:ext>
          </a:extLst>
        </xdr:cNvPr>
        <xdr:cNvSpPr txBox="1"/>
      </xdr:nvSpPr>
      <xdr:spPr>
        <a:xfrm>
          <a:off x="8830118" y="4544726"/>
          <a:ext cx="3644629" cy="274301"/>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200">
              <a:solidFill>
                <a:sysClr val="window" lastClr="FFFFFF">
                  <a:lumMod val="50000"/>
                </a:sysClr>
              </a:solidFill>
              <a:latin typeface="Arial" panose="020B0604020202020204" pitchFamily="34" charset="0"/>
              <a:cs typeface="Arial" panose="020B0604020202020204" pitchFamily="34" charset="0"/>
            </a:rPr>
            <a:t>Professional Profile of Our Customer Base</a:t>
          </a:r>
        </a:p>
      </xdr:txBody>
    </xdr:sp>
    <xdr:clientData/>
  </xdr:twoCellAnchor>
  <xdr:twoCellAnchor>
    <xdr:from>
      <xdr:col>17</xdr:col>
      <xdr:colOff>584554</xdr:colOff>
      <xdr:row>14</xdr:row>
      <xdr:rowOff>157453</xdr:rowOff>
    </xdr:from>
    <xdr:to>
      <xdr:col>23</xdr:col>
      <xdr:colOff>595029</xdr:colOff>
      <xdr:row>16</xdr:row>
      <xdr:rowOff>61918</xdr:rowOff>
    </xdr:to>
    <xdr:sp macro="" textlink="">
      <xdr:nvSpPr>
        <xdr:cNvPr id="17" name="TextBox 52">
          <a:extLst>
            <a:ext uri="{FF2B5EF4-FFF2-40B4-BE49-F238E27FC236}">
              <a16:creationId xmlns:a16="http://schemas.microsoft.com/office/drawing/2014/main" id="{2D59A80F-D940-A846-866E-98C85430E67B}"/>
            </a:ext>
          </a:extLst>
        </xdr:cNvPr>
        <xdr:cNvSpPr txBox="1"/>
      </xdr:nvSpPr>
      <xdr:spPr>
        <a:xfrm>
          <a:off x="10881323" y="2756068"/>
          <a:ext cx="3644629" cy="275696"/>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200">
              <a:solidFill>
                <a:sysClr val="window" lastClr="FFFFFF">
                  <a:lumMod val="50000"/>
                </a:sysClr>
              </a:solidFill>
              <a:latin typeface="Arial" panose="020B0604020202020204" pitchFamily="34" charset="0"/>
              <a:cs typeface="Arial" panose="020B0604020202020204" pitchFamily="34" charset="0"/>
            </a:rPr>
            <a:t>Customer Wealth Profile</a:t>
          </a:r>
        </a:p>
      </xdr:txBody>
    </xdr:sp>
    <xdr:clientData/>
  </xdr:twoCellAnchor>
  <xdr:twoCellAnchor>
    <xdr:from>
      <xdr:col>7</xdr:col>
      <xdr:colOff>178828</xdr:colOff>
      <xdr:row>3</xdr:row>
      <xdr:rowOff>104476</xdr:rowOff>
    </xdr:from>
    <xdr:to>
      <xdr:col>17</xdr:col>
      <xdr:colOff>5860</xdr:colOff>
      <xdr:row>4</xdr:row>
      <xdr:rowOff>157981</xdr:rowOff>
    </xdr:to>
    <xdr:sp macro="" textlink="">
      <xdr:nvSpPr>
        <xdr:cNvPr id="19" name="TextBox 27">
          <a:extLst>
            <a:ext uri="{FF2B5EF4-FFF2-40B4-BE49-F238E27FC236}">
              <a16:creationId xmlns:a16="http://schemas.microsoft.com/office/drawing/2014/main" id="{BAD9CDF3-A6A7-31BB-29CB-ECE7C32776B6}"/>
            </a:ext>
          </a:extLst>
        </xdr:cNvPr>
        <xdr:cNvSpPr txBox="1"/>
      </xdr:nvSpPr>
      <xdr:spPr>
        <a:xfrm>
          <a:off x="4418674" y="661322"/>
          <a:ext cx="5883955" cy="239121"/>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050" i="0">
              <a:solidFill>
                <a:sysClr val="window" lastClr="FFFFFF">
                  <a:lumMod val="50000"/>
                </a:sysClr>
              </a:solidFill>
              <a:latin typeface="Bahnschrift Light SemiCondensed" panose="020B0502040204020203" pitchFamily="34" charset="0"/>
              <a:cs typeface="Arial" panose="020B0604020202020204" pitchFamily="34" charset="0"/>
            </a:rPr>
            <a:t>A</a:t>
          </a:r>
          <a:r>
            <a:rPr lang="en-US" sz="1050" i="0" baseline="0">
              <a:solidFill>
                <a:sysClr val="window" lastClr="FFFFFF">
                  <a:lumMod val="50000"/>
                </a:sysClr>
              </a:solidFill>
              <a:latin typeface="Bahnschrift Light SemiCondensed" panose="020B0502040204020203" pitchFamily="34" charset="0"/>
              <a:cs typeface="Arial" panose="020B0604020202020204" pitchFamily="34" charset="0"/>
            </a:rPr>
            <a:t> snapshot of our customer base, informing personalised engagement strategies.</a:t>
          </a:r>
          <a:endParaRPr lang="en-US" sz="1050" i="0">
            <a:solidFill>
              <a:sysClr val="window" lastClr="FFFFFF">
                <a:lumMod val="50000"/>
              </a:sysClr>
            </a:solidFill>
            <a:latin typeface="Bahnschrift Light SemiCondensed" panose="020B0502040204020203" pitchFamily="34" charset="0"/>
            <a:cs typeface="Arial" panose="020B0604020202020204" pitchFamily="34" charset="0"/>
          </a:endParaRPr>
        </a:p>
      </xdr:txBody>
    </xdr:sp>
    <xdr:clientData/>
  </xdr:twoCellAnchor>
  <xdr:twoCellAnchor>
    <xdr:from>
      <xdr:col>12</xdr:col>
      <xdr:colOff>425751</xdr:colOff>
      <xdr:row>15</xdr:row>
      <xdr:rowOff>176774</xdr:rowOff>
    </xdr:from>
    <xdr:to>
      <xdr:col>17</xdr:col>
      <xdr:colOff>425750</xdr:colOff>
      <xdr:row>24</xdr:row>
      <xdr:rowOff>65698</xdr:rowOff>
    </xdr:to>
    <xdr:graphicFrame macro="">
      <xdr:nvGraphicFramePr>
        <xdr:cNvPr id="24" name="Chart 23">
          <a:extLst>
            <a:ext uri="{FF2B5EF4-FFF2-40B4-BE49-F238E27FC236}">
              <a16:creationId xmlns:a16="http://schemas.microsoft.com/office/drawing/2014/main" id="{CDADC849-50AC-1F4A-2CEF-88B57014B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442684</xdr:colOff>
      <xdr:row>17</xdr:row>
      <xdr:rowOff>85686</xdr:rowOff>
    </xdr:from>
    <xdr:to>
      <xdr:col>15</xdr:col>
      <xdr:colOff>229324</xdr:colOff>
      <xdr:row>22</xdr:row>
      <xdr:rowOff>158146</xdr:rowOff>
    </xdr:to>
    <xdr:sp macro="" textlink="">
      <xdr:nvSpPr>
        <xdr:cNvPr id="25" name="Oval 24">
          <a:extLst>
            <a:ext uri="{FF2B5EF4-FFF2-40B4-BE49-F238E27FC236}">
              <a16:creationId xmlns:a16="http://schemas.microsoft.com/office/drawing/2014/main" id="{E739E918-1A7F-4FE2-76C1-8E105840007A}"/>
            </a:ext>
          </a:extLst>
        </xdr:cNvPr>
        <xdr:cNvSpPr/>
      </xdr:nvSpPr>
      <xdr:spPr>
        <a:xfrm>
          <a:off x="8316684" y="3241148"/>
          <a:ext cx="998025" cy="1000536"/>
        </a:xfrm>
        <a:prstGeom prst="ellipse">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476551</xdr:colOff>
      <xdr:row>18</xdr:row>
      <xdr:rowOff>125942</xdr:rowOff>
    </xdr:from>
    <xdr:to>
      <xdr:col>15</xdr:col>
      <xdr:colOff>273350</xdr:colOff>
      <xdr:row>20</xdr:row>
      <xdr:rowOff>122741</xdr:rowOff>
    </xdr:to>
    <xdr:sp macro="" textlink="maxtenureval">
      <xdr:nvSpPr>
        <xdr:cNvPr id="26" name="TextBox 27">
          <a:extLst>
            <a:ext uri="{FF2B5EF4-FFF2-40B4-BE49-F238E27FC236}">
              <a16:creationId xmlns:a16="http://schemas.microsoft.com/office/drawing/2014/main" id="{4AA3B504-B366-33BB-9207-AEEBA6D76F2C}"/>
            </a:ext>
          </a:extLst>
        </xdr:cNvPr>
        <xdr:cNvSpPr txBox="1"/>
      </xdr:nvSpPr>
      <xdr:spPr>
        <a:xfrm>
          <a:off x="8350551" y="3467019"/>
          <a:ext cx="1008184" cy="368030"/>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85B92808-B561-41BA-8263-A5C288C728BD}" type="TxLink">
            <a:rPr lang="en-US" sz="2800" b="1" kern="1200">
              <a:solidFill>
                <a:schemeClr val="bg1">
                  <a:lumMod val="75000"/>
                </a:schemeClr>
              </a:solidFill>
              <a:latin typeface="Arial" panose="020B0604020202020204" pitchFamily="34" charset="0"/>
              <a:ea typeface="+mn-ea"/>
              <a:cs typeface="Arial" panose="020B0604020202020204" pitchFamily="34" charset="0"/>
            </a:rPr>
            <a:pPr marL="0" indent="0" algn="ctr" defTabSz="914400" rtl="0" eaLnBrk="1" latinLnBrk="0" hangingPunct="1"/>
            <a:t>40%</a:t>
          </a:fld>
          <a:endParaRPr lang="en-US" sz="2800" b="1" kern="1200">
            <a:solidFill>
              <a:schemeClr val="bg1">
                <a:lumMod val="75000"/>
              </a:schemeClr>
            </a:solidFill>
            <a:latin typeface="Arial" panose="020B0604020202020204" pitchFamily="34" charset="0"/>
            <a:ea typeface="+mn-ea"/>
            <a:cs typeface="Arial" panose="020B0604020202020204" pitchFamily="34" charset="0"/>
          </a:endParaRPr>
        </a:p>
      </xdr:txBody>
    </xdr:sp>
    <xdr:clientData/>
  </xdr:twoCellAnchor>
  <xdr:twoCellAnchor>
    <xdr:from>
      <xdr:col>13</xdr:col>
      <xdr:colOff>586618</xdr:colOff>
      <xdr:row>20</xdr:row>
      <xdr:rowOff>117508</xdr:rowOff>
    </xdr:from>
    <xdr:to>
      <xdr:col>15</xdr:col>
      <xdr:colOff>87085</xdr:colOff>
      <xdr:row>21</xdr:row>
      <xdr:rowOff>139672</xdr:rowOff>
    </xdr:to>
    <xdr:sp macro="" textlink="maxtenure">
      <xdr:nvSpPr>
        <xdr:cNvPr id="27" name="TextBox 27">
          <a:extLst>
            <a:ext uri="{FF2B5EF4-FFF2-40B4-BE49-F238E27FC236}">
              <a16:creationId xmlns:a16="http://schemas.microsoft.com/office/drawing/2014/main" id="{F74AFD89-C449-522E-1961-62A25EE7CBA9}"/>
            </a:ext>
          </a:extLst>
        </xdr:cNvPr>
        <xdr:cNvSpPr txBox="1"/>
      </xdr:nvSpPr>
      <xdr:spPr>
        <a:xfrm>
          <a:off x="8460618" y="3829816"/>
          <a:ext cx="711852" cy="207779"/>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9D1640A4-AC96-4588-9015-C2CD4AEDD99C}" type="TxLink">
            <a:rPr lang="en-US" sz="1200" b="0" i="0" u="none" strike="noStrike" kern="1200">
              <a:solidFill>
                <a:schemeClr val="bg1">
                  <a:lumMod val="85000"/>
                </a:schemeClr>
              </a:solidFill>
              <a:latin typeface="Arial" panose="020B0604020202020204" pitchFamily="34" charset="0"/>
              <a:ea typeface="+mn-ea"/>
              <a:cs typeface="Arial" panose="020B0604020202020204" pitchFamily="34" charset="0"/>
            </a:rPr>
            <a:pPr marL="0" indent="0" algn="ctr" defTabSz="914400" rtl="0" eaLnBrk="1" latinLnBrk="0" hangingPunct="1"/>
            <a:t>Loyal</a:t>
          </a:fld>
          <a:endParaRPr lang="en-US" sz="3200" kern="1200">
            <a:solidFill>
              <a:schemeClr val="bg1">
                <a:lumMod val="85000"/>
              </a:schemeClr>
            </a:solidFill>
            <a:latin typeface="Arial" panose="020B0604020202020204" pitchFamily="34" charset="0"/>
            <a:ea typeface="+mn-ea"/>
            <a:cs typeface="Arial" panose="020B0604020202020204" pitchFamily="34" charset="0"/>
          </a:endParaRPr>
        </a:p>
      </xdr:txBody>
    </xdr:sp>
    <xdr:clientData/>
  </xdr:twoCellAnchor>
  <xdr:twoCellAnchor>
    <xdr:from>
      <xdr:col>7</xdr:col>
      <xdr:colOff>203756</xdr:colOff>
      <xdr:row>15</xdr:row>
      <xdr:rowOff>74164</xdr:rowOff>
    </xdr:from>
    <xdr:to>
      <xdr:col>12</xdr:col>
      <xdr:colOff>446590</xdr:colOff>
      <xdr:row>24</xdr:row>
      <xdr:rowOff>59610</xdr:rowOff>
    </xdr:to>
    <xdr:graphicFrame macro="">
      <xdr:nvGraphicFramePr>
        <xdr:cNvPr id="28" name="Chart 27">
          <a:extLst>
            <a:ext uri="{FF2B5EF4-FFF2-40B4-BE49-F238E27FC236}">
              <a16:creationId xmlns:a16="http://schemas.microsoft.com/office/drawing/2014/main" id="{23DB3438-704B-F232-1A52-F589CE4DC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588944</xdr:colOff>
      <xdr:row>14</xdr:row>
      <xdr:rowOff>184218</xdr:rowOff>
    </xdr:from>
    <xdr:to>
      <xdr:col>23</xdr:col>
      <xdr:colOff>262371</xdr:colOff>
      <xdr:row>24</xdr:row>
      <xdr:rowOff>58617</xdr:rowOff>
    </xdr:to>
    <xdr:graphicFrame macro="">
      <xdr:nvGraphicFramePr>
        <xdr:cNvPr id="29" name="Chart 28">
          <a:extLst>
            <a:ext uri="{FF2B5EF4-FFF2-40B4-BE49-F238E27FC236}">
              <a16:creationId xmlns:a16="http://schemas.microsoft.com/office/drawing/2014/main" id="{6EB18E9A-AFB3-D9DF-80E5-1FA77189A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124805</xdr:colOff>
      <xdr:row>26</xdr:row>
      <xdr:rowOff>5182</xdr:rowOff>
    </xdr:from>
    <xdr:to>
      <xdr:col>14</xdr:col>
      <xdr:colOff>280315</xdr:colOff>
      <xdr:row>36</xdr:row>
      <xdr:rowOff>82059</xdr:rowOff>
    </xdr:to>
    <xdr:graphicFrame macro="">
      <xdr:nvGraphicFramePr>
        <xdr:cNvPr id="30" name="Chart 29">
          <a:extLst>
            <a:ext uri="{FF2B5EF4-FFF2-40B4-BE49-F238E27FC236}">
              <a16:creationId xmlns:a16="http://schemas.microsoft.com/office/drawing/2014/main" id="{3CF530FC-6DDA-47B4-7099-F853B8EF7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368915</xdr:colOff>
      <xdr:row>25</xdr:row>
      <xdr:rowOff>68640</xdr:rowOff>
    </xdr:from>
    <xdr:to>
      <xdr:col>23</xdr:col>
      <xdr:colOff>308757</xdr:colOff>
      <xdr:row>36</xdr:row>
      <xdr:rowOff>88693</xdr:rowOff>
    </xdr:to>
    <xdr:graphicFrame macro="">
      <xdr:nvGraphicFramePr>
        <xdr:cNvPr id="31" name="Chart 30">
          <a:extLst>
            <a:ext uri="{FF2B5EF4-FFF2-40B4-BE49-F238E27FC236}">
              <a16:creationId xmlns:a16="http://schemas.microsoft.com/office/drawing/2014/main" id="{2A0F7547-CBEF-E2E9-5F8E-B59A92532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164377</xdr:colOff>
      <xdr:row>7</xdr:row>
      <xdr:rowOff>111188</xdr:rowOff>
    </xdr:from>
    <xdr:to>
      <xdr:col>6</xdr:col>
      <xdr:colOff>535353</xdr:colOff>
      <xdr:row>10</xdr:row>
      <xdr:rowOff>13367</xdr:rowOff>
    </xdr:to>
    <xdr:grpSp>
      <xdr:nvGrpSpPr>
        <xdr:cNvPr id="36" name="Group 35">
          <a:extLst>
            <a:ext uri="{FF2B5EF4-FFF2-40B4-BE49-F238E27FC236}">
              <a16:creationId xmlns:a16="http://schemas.microsoft.com/office/drawing/2014/main" id="{47F29EA9-88D9-9EEE-410A-033CE7E4D9D0}"/>
            </a:ext>
          </a:extLst>
        </xdr:cNvPr>
        <xdr:cNvGrpSpPr/>
      </xdr:nvGrpSpPr>
      <xdr:grpSpPr>
        <a:xfrm>
          <a:off x="2587146" y="1410496"/>
          <a:ext cx="1582361" cy="459025"/>
          <a:chOff x="2556709" y="1315890"/>
          <a:chExt cx="1594187" cy="448742"/>
        </a:xfrm>
      </xdr:grpSpPr>
      <xdr:sp macro="" textlink="">
        <xdr:nvSpPr>
          <xdr:cNvPr id="53" name="Rectangle: Rounded Corners 52">
            <a:extLst>
              <a:ext uri="{FF2B5EF4-FFF2-40B4-BE49-F238E27FC236}">
                <a16:creationId xmlns:a16="http://schemas.microsoft.com/office/drawing/2014/main" id="{ED960E2D-997C-6186-E222-60EE83B671D6}"/>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54" name="Oval 53">
            <a:extLst>
              <a:ext uri="{FF2B5EF4-FFF2-40B4-BE49-F238E27FC236}">
                <a16:creationId xmlns:a16="http://schemas.microsoft.com/office/drawing/2014/main" id="{223A3720-8C5F-6B42-F2C7-E83F53E119B7}"/>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55" name="TextBox 50">
            <a:extLst>
              <a:ext uri="{FF2B5EF4-FFF2-40B4-BE49-F238E27FC236}">
                <a16:creationId xmlns:a16="http://schemas.microsoft.com/office/drawing/2014/main" id="{E32DAFDD-EBF7-5A3A-47C0-A56E9D2475CA}"/>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Dataset</a:t>
            </a:r>
          </a:p>
        </xdr:txBody>
      </xdr:sp>
    </xdr:grpSp>
    <xdr:clientData/>
  </xdr:twoCellAnchor>
  <xdr:twoCellAnchor>
    <xdr:from>
      <xdr:col>4</xdr:col>
      <xdr:colOff>164377</xdr:colOff>
      <xdr:row>11</xdr:row>
      <xdr:rowOff>10295</xdr:rowOff>
    </xdr:from>
    <xdr:to>
      <xdr:col>6</xdr:col>
      <xdr:colOff>535353</xdr:colOff>
      <xdr:row>13</xdr:row>
      <xdr:rowOff>103231</xdr:rowOff>
    </xdr:to>
    <xdr:grpSp>
      <xdr:nvGrpSpPr>
        <xdr:cNvPr id="37" name="Group 36">
          <a:extLst>
            <a:ext uri="{FF2B5EF4-FFF2-40B4-BE49-F238E27FC236}">
              <a16:creationId xmlns:a16="http://schemas.microsoft.com/office/drawing/2014/main" id="{D49C96A5-8366-7357-9749-051797FD7742}"/>
            </a:ext>
          </a:extLst>
        </xdr:cNvPr>
        <xdr:cNvGrpSpPr/>
      </xdr:nvGrpSpPr>
      <xdr:grpSpPr>
        <a:xfrm>
          <a:off x="2587146" y="2052064"/>
          <a:ext cx="1582361" cy="464167"/>
          <a:chOff x="2556709" y="1315890"/>
          <a:chExt cx="1594187" cy="448742"/>
        </a:xfrm>
      </xdr:grpSpPr>
      <xdr:sp macro="" textlink="">
        <xdr:nvSpPr>
          <xdr:cNvPr id="50" name="Rectangle: Rounded Corners 49">
            <a:extLst>
              <a:ext uri="{FF2B5EF4-FFF2-40B4-BE49-F238E27FC236}">
                <a16:creationId xmlns:a16="http://schemas.microsoft.com/office/drawing/2014/main" id="{DAAB2AD4-EB01-3628-130E-C568F27900B5}"/>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51" name="Oval 50">
            <a:extLst>
              <a:ext uri="{FF2B5EF4-FFF2-40B4-BE49-F238E27FC236}">
                <a16:creationId xmlns:a16="http://schemas.microsoft.com/office/drawing/2014/main" id="{72FE186A-4051-8D1A-6F6A-1E866A025F0E}"/>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52" name="TextBox 50">
            <a:extLst>
              <a:ext uri="{FF2B5EF4-FFF2-40B4-BE49-F238E27FC236}">
                <a16:creationId xmlns:a16="http://schemas.microsoft.com/office/drawing/2014/main" id="{42820004-289E-BD6B-C416-A7F895CB50A0}"/>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Pre Analysis</a:t>
            </a:r>
          </a:p>
        </xdr:txBody>
      </xdr:sp>
    </xdr:grpSp>
    <xdr:clientData/>
  </xdr:twoCellAnchor>
  <xdr:twoCellAnchor>
    <xdr:from>
      <xdr:col>4</xdr:col>
      <xdr:colOff>164377</xdr:colOff>
      <xdr:row>14</xdr:row>
      <xdr:rowOff>100158</xdr:rowOff>
    </xdr:from>
    <xdr:to>
      <xdr:col>6</xdr:col>
      <xdr:colOff>535353</xdr:colOff>
      <xdr:row>17</xdr:row>
      <xdr:rowOff>2337</xdr:rowOff>
    </xdr:to>
    <xdr:grpSp>
      <xdr:nvGrpSpPr>
        <xdr:cNvPr id="38" name="Group 37">
          <a:extLst>
            <a:ext uri="{FF2B5EF4-FFF2-40B4-BE49-F238E27FC236}">
              <a16:creationId xmlns:a16="http://schemas.microsoft.com/office/drawing/2014/main" id="{4D2FA03B-3C79-ADC9-2116-C654391C08D9}"/>
            </a:ext>
          </a:extLst>
        </xdr:cNvPr>
        <xdr:cNvGrpSpPr/>
      </xdr:nvGrpSpPr>
      <xdr:grpSpPr>
        <a:xfrm>
          <a:off x="2587146" y="2698773"/>
          <a:ext cx="1582361" cy="459026"/>
          <a:chOff x="2556709" y="1315890"/>
          <a:chExt cx="1594187" cy="448742"/>
        </a:xfrm>
      </xdr:grpSpPr>
      <xdr:sp macro="" textlink="">
        <xdr:nvSpPr>
          <xdr:cNvPr id="47" name="Rectangle: Rounded Corners 46">
            <a:extLst>
              <a:ext uri="{FF2B5EF4-FFF2-40B4-BE49-F238E27FC236}">
                <a16:creationId xmlns:a16="http://schemas.microsoft.com/office/drawing/2014/main" id="{1615C255-130C-30FC-1CEA-69C82419AA8A}"/>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8" name="Oval 47">
            <a:extLst>
              <a:ext uri="{FF2B5EF4-FFF2-40B4-BE49-F238E27FC236}">
                <a16:creationId xmlns:a16="http://schemas.microsoft.com/office/drawing/2014/main" id="{EFBD151C-11BE-A51E-FC58-DFA43B35FC1C}"/>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9" name="TextBox 50">
            <a:extLst>
              <a:ext uri="{FF2B5EF4-FFF2-40B4-BE49-F238E27FC236}">
                <a16:creationId xmlns:a16="http://schemas.microsoft.com/office/drawing/2014/main" id="{48CE83C5-3559-2CD4-85CF-649F2AF2C354}"/>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In Analysis</a:t>
            </a:r>
          </a:p>
        </xdr:txBody>
      </xdr:sp>
    </xdr:grpSp>
    <xdr:clientData/>
  </xdr:twoCellAnchor>
  <xdr:twoCellAnchor>
    <xdr:from>
      <xdr:col>4</xdr:col>
      <xdr:colOff>164377</xdr:colOff>
      <xdr:row>17</xdr:row>
      <xdr:rowOff>184880</xdr:rowOff>
    </xdr:from>
    <xdr:to>
      <xdr:col>6</xdr:col>
      <xdr:colOff>535353</xdr:colOff>
      <xdr:row>20</xdr:row>
      <xdr:rowOff>92201</xdr:rowOff>
    </xdr:to>
    <xdr:grpSp>
      <xdr:nvGrpSpPr>
        <xdr:cNvPr id="39" name="Group 38">
          <a:extLst>
            <a:ext uri="{FF2B5EF4-FFF2-40B4-BE49-F238E27FC236}">
              <a16:creationId xmlns:a16="http://schemas.microsoft.com/office/drawing/2014/main" id="{88789A45-6254-1366-258B-6462A236E15B}"/>
            </a:ext>
          </a:extLst>
        </xdr:cNvPr>
        <xdr:cNvGrpSpPr/>
      </xdr:nvGrpSpPr>
      <xdr:grpSpPr>
        <a:xfrm>
          <a:off x="2587146" y="3340342"/>
          <a:ext cx="1582361" cy="464167"/>
          <a:chOff x="2556709" y="1315890"/>
          <a:chExt cx="1594187" cy="448742"/>
        </a:xfrm>
      </xdr:grpSpPr>
      <xdr:sp macro="" textlink="">
        <xdr:nvSpPr>
          <xdr:cNvPr id="44" name="Rectangle: Rounded Corners 43">
            <a:extLst>
              <a:ext uri="{FF2B5EF4-FFF2-40B4-BE49-F238E27FC236}">
                <a16:creationId xmlns:a16="http://schemas.microsoft.com/office/drawing/2014/main" id="{3534B01D-12D5-58B4-E360-2BF737A724CC}"/>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5" name="Oval 44">
            <a:extLst>
              <a:ext uri="{FF2B5EF4-FFF2-40B4-BE49-F238E27FC236}">
                <a16:creationId xmlns:a16="http://schemas.microsoft.com/office/drawing/2014/main" id="{ED70F5BC-5981-4AEA-4A81-2638D76C74DB}"/>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6" name="TextBox 50">
            <a:extLst>
              <a:ext uri="{FF2B5EF4-FFF2-40B4-BE49-F238E27FC236}">
                <a16:creationId xmlns:a16="http://schemas.microsoft.com/office/drawing/2014/main" id="{CF55BF8C-7B08-AF02-B8A7-4B3A5FC993DF}"/>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Dashboard</a:t>
            </a:r>
          </a:p>
        </xdr:txBody>
      </xdr:sp>
    </xdr:grpSp>
    <xdr:clientData/>
  </xdr:twoCellAnchor>
  <xdr:twoCellAnchor>
    <xdr:from>
      <xdr:col>4</xdr:col>
      <xdr:colOff>164377</xdr:colOff>
      <xdr:row>21</xdr:row>
      <xdr:rowOff>89130</xdr:rowOff>
    </xdr:from>
    <xdr:to>
      <xdr:col>6</xdr:col>
      <xdr:colOff>535353</xdr:colOff>
      <xdr:row>23</xdr:row>
      <xdr:rowOff>176924</xdr:rowOff>
    </xdr:to>
    <xdr:grpSp>
      <xdr:nvGrpSpPr>
        <xdr:cNvPr id="40" name="Group 39">
          <a:extLst>
            <a:ext uri="{FF2B5EF4-FFF2-40B4-BE49-F238E27FC236}">
              <a16:creationId xmlns:a16="http://schemas.microsoft.com/office/drawing/2014/main" id="{4985DE34-F575-D6D9-B4EE-92F529AA4C7A}"/>
            </a:ext>
          </a:extLst>
        </xdr:cNvPr>
        <xdr:cNvGrpSpPr/>
      </xdr:nvGrpSpPr>
      <xdr:grpSpPr>
        <a:xfrm>
          <a:off x="2587146" y="3987053"/>
          <a:ext cx="1582361" cy="459025"/>
          <a:chOff x="2556709" y="1315890"/>
          <a:chExt cx="1594187" cy="448742"/>
        </a:xfrm>
      </xdr:grpSpPr>
      <xdr:sp macro="" textlink="">
        <xdr:nvSpPr>
          <xdr:cNvPr id="41" name="Rectangle: Rounded Corners 40">
            <a:extLst>
              <a:ext uri="{FF2B5EF4-FFF2-40B4-BE49-F238E27FC236}">
                <a16:creationId xmlns:a16="http://schemas.microsoft.com/office/drawing/2014/main" id="{75DC9B0A-0B4E-9E73-83DE-98BA1BCF95C9}"/>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2" name="Oval 41">
            <a:extLst>
              <a:ext uri="{FF2B5EF4-FFF2-40B4-BE49-F238E27FC236}">
                <a16:creationId xmlns:a16="http://schemas.microsoft.com/office/drawing/2014/main" id="{E06A42A2-D48C-E793-2073-3504F9233B4F}"/>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3" name="TextBox 50">
            <a:extLst>
              <a:ext uri="{FF2B5EF4-FFF2-40B4-BE49-F238E27FC236}">
                <a16:creationId xmlns:a16="http://schemas.microsoft.com/office/drawing/2014/main" id="{4C27669F-8EF3-58BD-07A2-E54071BC684F}"/>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Post  Analysis</a:t>
            </a:r>
          </a:p>
        </xdr:txBody>
      </xdr:sp>
    </xdr:grpSp>
    <xdr:clientData/>
  </xdr:twoCellAnchor>
  <xdr:twoCellAnchor editAs="oneCell">
    <xdr:from>
      <xdr:col>4</xdr:col>
      <xdr:colOff>287915</xdr:colOff>
      <xdr:row>11</xdr:row>
      <xdr:rowOff>120960</xdr:rowOff>
    </xdr:from>
    <xdr:to>
      <xdr:col>4</xdr:col>
      <xdr:colOff>516515</xdr:colOff>
      <xdr:row>12</xdr:row>
      <xdr:rowOff>163944</xdr:rowOff>
    </xdr:to>
    <xdr:pic>
      <xdr:nvPicPr>
        <xdr:cNvPr id="73" name="Picture 72">
          <a:extLst>
            <a:ext uri="{FF2B5EF4-FFF2-40B4-BE49-F238E27FC236}">
              <a16:creationId xmlns:a16="http://schemas.microsoft.com/office/drawing/2014/main" id="{E1CF8EF3-4BFB-4609-A861-E2C5E031EC59}"/>
            </a:ext>
          </a:extLst>
        </xdr:cNvPr>
        <xdr:cNvPicPr>
          <a:picLocks noChangeAspect="1"/>
        </xdr:cNvPicPr>
      </xdr:nvPicPr>
      <xdr:blipFill>
        <a:blip xmlns:r="http://schemas.openxmlformats.org/officeDocument/2006/relationships" r:embed="rId6" cstate="print">
          <a:duotone>
            <a:prstClr val="black"/>
            <a:schemeClr val="tx2">
              <a:tint val="45000"/>
              <a:satMod val="400000"/>
            </a:schemeClr>
          </a:duotone>
          <a:extLst>
            <a:ext uri="{BEBA8EAE-BF5A-486C-A8C5-ECC9F3942E4B}">
              <a14:imgProps xmlns:a14="http://schemas.microsoft.com/office/drawing/2010/main">
                <a14:imgLayer r:embed="rId7">
                  <a14:imgEffect>
                    <a14:sharpenSoften amount="50000"/>
                  </a14:imgEffect>
                </a14:imgLayer>
              </a14:imgProps>
            </a:ext>
            <a:ext uri="{28A0092B-C50C-407E-A947-70E740481C1C}">
              <a14:useLocalDpi xmlns:a14="http://schemas.microsoft.com/office/drawing/2010/main" val="0"/>
            </a:ext>
          </a:extLst>
        </a:blip>
        <a:stretch>
          <a:fillRect/>
        </a:stretch>
      </xdr:blipFill>
      <xdr:spPr>
        <a:xfrm>
          <a:off x="2710684" y="2162729"/>
          <a:ext cx="228600" cy="228600"/>
        </a:xfrm>
        <a:prstGeom prst="rect">
          <a:avLst/>
        </a:prstGeom>
      </xdr:spPr>
    </xdr:pic>
    <xdr:clientData/>
  </xdr:twoCellAnchor>
  <xdr:twoCellAnchor editAs="oneCell">
    <xdr:from>
      <xdr:col>4</xdr:col>
      <xdr:colOff>271838</xdr:colOff>
      <xdr:row>18</xdr:row>
      <xdr:rowOff>114652</xdr:rowOff>
    </xdr:from>
    <xdr:to>
      <xdr:col>4</xdr:col>
      <xdr:colOff>500438</xdr:colOff>
      <xdr:row>19</xdr:row>
      <xdr:rowOff>157637</xdr:rowOff>
    </xdr:to>
    <xdr:pic>
      <xdr:nvPicPr>
        <xdr:cNvPr id="74" name="Picture 73">
          <a:extLst>
            <a:ext uri="{FF2B5EF4-FFF2-40B4-BE49-F238E27FC236}">
              <a16:creationId xmlns:a16="http://schemas.microsoft.com/office/drawing/2014/main" id="{CD760B8C-BF76-451C-AE68-DEADFA43DA66}"/>
            </a:ext>
          </a:extLst>
        </xdr:cNvPr>
        <xdr:cNvPicPr>
          <a:picLocks noChangeAspect="1"/>
        </xdr:cNvPicPr>
      </xdr:nvPicPr>
      <xdr:blipFill>
        <a:blip xmlns:r="http://schemas.openxmlformats.org/officeDocument/2006/relationships" r:embed="rId8" cstate="print">
          <a:duotone>
            <a:prstClr val="black"/>
            <a:srgbClr val="134E4C">
              <a:tint val="45000"/>
              <a:satMod val="400000"/>
            </a:srgbClr>
          </a:duotone>
          <a:extLst>
            <a:ext uri="{BEBA8EAE-BF5A-486C-A8C5-ECC9F3942E4B}">
              <a14:imgProps xmlns:a14="http://schemas.microsoft.com/office/drawing/2010/main">
                <a14:imgLayer r:embed="rId9">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2694607" y="3455729"/>
          <a:ext cx="228600" cy="228600"/>
        </a:xfrm>
        <a:prstGeom prst="rect">
          <a:avLst/>
        </a:prstGeom>
      </xdr:spPr>
    </xdr:pic>
    <xdr:clientData/>
  </xdr:twoCellAnchor>
  <xdr:twoCellAnchor editAs="oneCell">
    <xdr:from>
      <xdr:col>4</xdr:col>
      <xdr:colOff>275301</xdr:colOff>
      <xdr:row>15</xdr:row>
      <xdr:rowOff>30191</xdr:rowOff>
    </xdr:from>
    <xdr:to>
      <xdr:col>4</xdr:col>
      <xdr:colOff>503901</xdr:colOff>
      <xdr:row>16</xdr:row>
      <xdr:rowOff>73176</xdr:rowOff>
    </xdr:to>
    <xdr:pic>
      <xdr:nvPicPr>
        <xdr:cNvPr id="75" name="Picture 74">
          <a:extLst>
            <a:ext uri="{FF2B5EF4-FFF2-40B4-BE49-F238E27FC236}">
              <a16:creationId xmlns:a16="http://schemas.microsoft.com/office/drawing/2014/main" id="{473AE52B-2D48-4576-8CFA-25A6C40A8125}"/>
            </a:ext>
          </a:extLst>
        </xdr:cNvPr>
        <xdr:cNvPicPr>
          <a:picLocks noChangeAspect="1"/>
        </xdr:cNvPicPr>
      </xdr:nvPicPr>
      <xdr:blipFill>
        <a:blip xmlns:r="http://schemas.openxmlformats.org/officeDocument/2006/relationships" r:embed="rId10" cstate="print">
          <a:duotone>
            <a:prstClr val="black"/>
            <a:srgbClr val="134E4C">
              <a:tint val="45000"/>
              <a:satMod val="400000"/>
            </a:srgbClr>
          </a:duotone>
          <a:extLst>
            <a:ext uri="{28A0092B-C50C-407E-A947-70E740481C1C}">
              <a14:useLocalDpi xmlns:a14="http://schemas.microsoft.com/office/drawing/2010/main" val="0"/>
            </a:ext>
          </a:extLst>
        </a:blip>
        <a:stretch>
          <a:fillRect/>
        </a:stretch>
      </xdr:blipFill>
      <xdr:spPr>
        <a:xfrm>
          <a:off x="2698070" y="2814422"/>
          <a:ext cx="228600" cy="228600"/>
        </a:xfrm>
        <a:prstGeom prst="rect">
          <a:avLst/>
        </a:prstGeom>
      </xdr:spPr>
    </xdr:pic>
    <xdr:clientData/>
  </xdr:twoCellAnchor>
  <xdr:twoCellAnchor editAs="oneCell">
    <xdr:from>
      <xdr:col>4</xdr:col>
      <xdr:colOff>297684</xdr:colOff>
      <xdr:row>8</xdr:row>
      <xdr:rowOff>33035</xdr:rowOff>
    </xdr:from>
    <xdr:to>
      <xdr:col>4</xdr:col>
      <xdr:colOff>497076</xdr:colOff>
      <xdr:row>9</xdr:row>
      <xdr:rowOff>76020</xdr:rowOff>
    </xdr:to>
    <xdr:pic>
      <xdr:nvPicPr>
        <xdr:cNvPr id="76" name="Picture 75">
          <a:extLst>
            <a:ext uri="{FF2B5EF4-FFF2-40B4-BE49-F238E27FC236}">
              <a16:creationId xmlns:a16="http://schemas.microsoft.com/office/drawing/2014/main" id="{C126A567-524A-4D68-A9F5-31AADB1B177F}"/>
            </a:ext>
          </a:extLst>
        </xdr:cNvPr>
        <xdr:cNvPicPr>
          <a:picLocks noChangeAspect="1"/>
        </xdr:cNvPicPr>
      </xdr:nvPicPr>
      <xdr:blipFill>
        <a:blip xmlns:r="http://schemas.openxmlformats.org/officeDocument/2006/relationships" r:embed="rId11" cstate="print">
          <a:duotone>
            <a:schemeClr val="bg2">
              <a:shade val="45000"/>
              <a:satMod val="135000"/>
            </a:schemeClr>
            <a:prstClr val="white"/>
          </a:duotone>
          <a:alphaModFix/>
          <a:extLst>
            <a:ext uri="{BEBA8EAE-BF5A-486C-A8C5-ECC9F3942E4B}">
              <a14:imgProps xmlns:a14="http://schemas.microsoft.com/office/drawing/2010/main">
                <a14:imgLayer r:embed="rId12">
                  <a14:imgEffect>
                    <a14:artisticCrisscrossEtching/>
                  </a14:imgEffect>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2720453" y="1517958"/>
          <a:ext cx="199392" cy="228600"/>
        </a:xfrm>
        <a:prstGeom prst="rect">
          <a:avLst/>
        </a:prstGeom>
      </xdr:spPr>
    </xdr:pic>
    <xdr:clientData/>
  </xdr:twoCellAnchor>
  <xdr:twoCellAnchor editAs="oneCell">
    <xdr:from>
      <xdr:col>4</xdr:col>
      <xdr:colOff>289758</xdr:colOff>
      <xdr:row>22</xdr:row>
      <xdr:rowOff>5575</xdr:rowOff>
    </xdr:from>
    <xdr:to>
      <xdr:col>4</xdr:col>
      <xdr:colOff>518358</xdr:colOff>
      <xdr:row>23</xdr:row>
      <xdr:rowOff>48559</xdr:rowOff>
    </xdr:to>
    <xdr:pic>
      <xdr:nvPicPr>
        <xdr:cNvPr id="77" name="Picture 76">
          <a:extLst>
            <a:ext uri="{FF2B5EF4-FFF2-40B4-BE49-F238E27FC236}">
              <a16:creationId xmlns:a16="http://schemas.microsoft.com/office/drawing/2014/main" id="{00395461-1186-4153-B4B1-52405AC44DC5}"/>
            </a:ext>
          </a:extLst>
        </xdr:cNvPr>
        <xdr:cNvPicPr>
          <a:picLocks noChangeAspect="1"/>
        </xdr:cNvPicPr>
      </xdr:nvPicPr>
      <xdr:blipFill>
        <a:blip xmlns:r="http://schemas.openxmlformats.org/officeDocument/2006/relationships" r:embed="rId13" cstate="print">
          <a:duotone>
            <a:schemeClr val="bg2">
              <a:shade val="45000"/>
              <a:satMod val="135000"/>
            </a:schemeClr>
            <a:prstClr val="white"/>
          </a:duotone>
          <a:alphaModFix/>
          <a:extLst>
            <a:ext uri="{BEBA8EAE-BF5A-486C-A8C5-ECC9F3942E4B}">
              <a14:imgProps xmlns:a14="http://schemas.microsoft.com/office/drawing/2010/main">
                <a14:imgLayer r:embed="rId14">
                  <a14:imgEffect>
                    <a14:sharpenSoften amount="50000"/>
                  </a14:imgEffect>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2712527" y="4089113"/>
          <a:ext cx="228600" cy="228600"/>
        </a:xfrm>
        <a:prstGeom prst="rect">
          <a:avLst/>
        </a:prstGeom>
      </xdr:spPr>
    </xdr:pic>
    <xdr:clientData/>
  </xdr:twoCellAnchor>
  <xdr:twoCellAnchor editAs="oneCell">
    <xdr:from>
      <xdr:col>18</xdr:col>
      <xdr:colOff>40406</xdr:colOff>
      <xdr:row>5</xdr:row>
      <xdr:rowOff>81130</xdr:rowOff>
    </xdr:from>
    <xdr:to>
      <xdr:col>23</xdr:col>
      <xdr:colOff>303785</xdr:colOff>
      <xdr:row>7</xdr:row>
      <xdr:rowOff>167099</xdr:rowOff>
    </xdr:to>
    <mc:AlternateContent xmlns:mc="http://schemas.openxmlformats.org/markup-compatibility/2006" xmlns:a14="http://schemas.microsoft.com/office/drawing/2010/main">
      <mc:Choice Requires="a14">
        <xdr:graphicFrame macro="">
          <xdr:nvGraphicFramePr>
            <xdr:cNvPr id="78" name="Region 1">
              <a:extLst>
                <a:ext uri="{FF2B5EF4-FFF2-40B4-BE49-F238E27FC236}">
                  <a16:creationId xmlns:a16="http://schemas.microsoft.com/office/drawing/2014/main" id="{FCF1E591-14A1-4369-A002-4243419E440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42868" y="1009207"/>
              <a:ext cx="3291840"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432539</xdr:colOff>
      <xdr:row>5</xdr:row>
      <xdr:rowOff>81130</xdr:rowOff>
    </xdr:from>
    <xdr:to>
      <xdr:col>18</xdr:col>
      <xdr:colOff>90225</xdr:colOff>
      <xdr:row>7</xdr:row>
      <xdr:rowOff>167099</xdr:rowOff>
    </xdr:to>
    <mc:AlternateContent xmlns:mc="http://schemas.openxmlformats.org/markup-compatibility/2006" xmlns:a14="http://schemas.microsoft.com/office/drawing/2010/main">
      <mc:Choice Requires="a14">
        <xdr:graphicFrame macro="">
          <xdr:nvGraphicFramePr>
            <xdr:cNvPr id="79" name="Customer_Segment 1">
              <a:extLst>
                <a:ext uri="{FF2B5EF4-FFF2-40B4-BE49-F238E27FC236}">
                  <a16:creationId xmlns:a16="http://schemas.microsoft.com/office/drawing/2014/main" id="{09BDF449-C2BF-4DCF-94DA-5E72BE657B50}"/>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7700847" y="1009207"/>
              <a:ext cx="3291840"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153671</xdr:colOff>
      <xdr:row>7</xdr:row>
      <xdr:rowOff>111188</xdr:rowOff>
    </xdr:from>
    <xdr:to>
      <xdr:col>23</xdr:col>
      <xdr:colOff>275591</xdr:colOff>
      <xdr:row>14</xdr:row>
      <xdr:rowOff>33452</xdr:rowOff>
    </xdr:to>
    <xdr:grpSp>
      <xdr:nvGrpSpPr>
        <xdr:cNvPr id="80" name="Group 79">
          <a:extLst>
            <a:ext uri="{FF2B5EF4-FFF2-40B4-BE49-F238E27FC236}">
              <a16:creationId xmlns:a16="http://schemas.microsoft.com/office/drawing/2014/main" id="{961B2E10-A1F1-E492-9DB9-86DE6B5B7C11}"/>
            </a:ext>
          </a:extLst>
        </xdr:cNvPr>
        <xdr:cNvGrpSpPr/>
      </xdr:nvGrpSpPr>
      <xdr:grpSpPr>
        <a:xfrm>
          <a:off x="4393517" y="1410496"/>
          <a:ext cx="9812997" cy="1221571"/>
          <a:chOff x="4393517" y="1410496"/>
          <a:chExt cx="9812997" cy="1221571"/>
        </a:xfrm>
      </xdr:grpSpPr>
      <xdr:grpSp>
        <xdr:nvGrpSpPr>
          <xdr:cNvPr id="18" name="Group 17">
            <a:extLst>
              <a:ext uri="{FF2B5EF4-FFF2-40B4-BE49-F238E27FC236}">
                <a16:creationId xmlns:a16="http://schemas.microsoft.com/office/drawing/2014/main" id="{6F088ADA-6584-B307-B0F3-4419E028C60E}"/>
              </a:ext>
            </a:extLst>
          </xdr:cNvPr>
          <xdr:cNvGrpSpPr/>
        </xdr:nvGrpSpPr>
        <xdr:grpSpPr>
          <a:xfrm>
            <a:off x="4393517" y="1410496"/>
            <a:ext cx="9812997" cy="1221571"/>
            <a:chOff x="4342719" y="1508847"/>
            <a:chExt cx="9875520" cy="1225479"/>
          </a:xfrm>
        </xdr:grpSpPr>
        <xdr:sp macro="" textlink="">
          <xdr:nvSpPr>
            <xdr:cNvPr id="56" name="Rectangle: Rounded Corners 55">
              <a:extLst>
                <a:ext uri="{FF2B5EF4-FFF2-40B4-BE49-F238E27FC236}">
                  <a16:creationId xmlns:a16="http://schemas.microsoft.com/office/drawing/2014/main" id="{62CEAD71-872C-C103-D20B-6FF467F907A1}"/>
                </a:ext>
              </a:extLst>
            </xdr:cNvPr>
            <xdr:cNvSpPr/>
          </xdr:nvSpPr>
          <xdr:spPr>
            <a:xfrm>
              <a:off x="4342719" y="1508847"/>
              <a:ext cx="9875520" cy="1225479"/>
            </a:xfrm>
            <a:prstGeom prst="roundRect">
              <a:avLst>
                <a:gd name="adj" fmla="val 11282"/>
              </a:avLst>
            </a:prstGeom>
            <a:solidFill>
              <a:srgbClr val="02403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57" name="Rectangle: Rounded Corners 56">
              <a:extLst>
                <a:ext uri="{FF2B5EF4-FFF2-40B4-BE49-F238E27FC236}">
                  <a16:creationId xmlns:a16="http://schemas.microsoft.com/office/drawing/2014/main" id="{08B55FBC-53C8-5196-7EED-711CD3F67E59}"/>
                </a:ext>
              </a:extLst>
            </xdr:cNvPr>
            <xdr:cNvSpPr/>
          </xdr:nvSpPr>
          <xdr:spPr>
            <a:xfrm>
              <a:off x="4468578" y="1639642"/>
              <a:ext cx="2317942" cy="969389"/>
            </a:xfrm>
            <a:prstGeom prst="roundRect">
              <a:avLst>
                <a:gd name="adj" fmla="val 11282"/>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58" name="Rectangle: Rounded Corners 57">
              <a:extLst>
                <a:ext uri="{FF2B5EF4-FFF2-40B4-BE49-F238E27FC236}">
                  <a16:creationId xmlns:a16="http://schemas.microsoft.com/office/drawing/2014/main" id="{2CADAA0E-8F1F-D6A8-E54D-D56436B68816}"/>
                </a:ext>
              </a:extLst>
            </xdr:cNvPr>
            <xdr:cNvSpPr/>
          </xdr:nvSpPr>
          <xdr:spPr>
            <a:xfrm>
              <a:off x="6895475" y="1639642"/>
              <a:ext cx="2317942" cy="969389"/>
            </a:xfrm>
            <a:prstGeom prst="roundRect">
              <a:avLst>
                <a:gd name="adj" fmla="val 11282"/>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59" name="Rectangle: Rounded Corners 58">
              <a:extLst>
                <a:ext uri="{FF2B5EF4-FFF2-40B4-BE49-F238E27FC236}">
                  <a16:creationId xmlns:a16="http://schemas.microsoft.com/office/drawing/2014/main" id="{096F7A20-0CE3-02FE-4835-5AB182BA73A7}"/>
                </a:ext>
              </a:extLst>
            </xdr:cNvPr>
            <xdr:cNvSpPr/>
          </xdr:nvSpPr>
          <xdr:spPr>
            <a:xfrm>
              <a:off x="9333537" y="1639642"/>
              <a:ext cx="2317942" cy="969389"/>
            </a:xfrm>
            <a:prstGeom prst="roundRect">
              <a:avLst>
                <a:gd name="adj" fmla="val 11282"/>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60" name="Rectangle: Rounded Corners 59">
              <a:extLst>
                <a:ext uri="{FF2B5EF4-FFF2-40B4-BE49-F238E27FC236}">
                  <a16:creationId xmlns:a16="http://schemas.microsoft.com/office/drawing/2014/main" id="{78634CAC-92C1-529C-553A-45D8E96D90E1}"/>
                </a:ext>
              </a:extLst>
            </xdr:cNvPr>
            <xdr:cNvSpPr/>
          </xdr:nvSpPr>
          <xdr:spPr>
            <a:xfrm>
              <a:off x="11771599" y="1639642"/>
              <a:ext cx="2317942" cy="969389"/>
            </a:xfrm>
            <a:prstGeom prst="roundRect">
              <a:avLst>
                <a:gd name="adj" fmla="val 11282"/>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61" name="Oval 60">
              <a:extLst>
                <a:ext uri="{FF2B5EF4-FFF2-40B4-BE49-F238E27FC236}">
                  <a16:creationId xmlns:a16="http://schemas.microsoft.com/office/drawing/2014/main" id="{08B3903B-1F3C-8875-4364-E924CEAFC78E}"/>
                </a:ext>
              </a:extLst>
            </xdr:cNvPr>
            <xdr:cNvSpPr/>
          </xdr:nvSpPr>
          <xdr:spPr>
            <a:xfrm>
              <a:off x="4565981" y="1906352"/>
              <a:ext cx="365760" cy="365760"/>
            </a:xfrm>
            <a:prstGeom prst="ellipse">
              <a:avLst/>
            </a:prstGeom>
            <a:solidFill>
              <a:srgbClr val="02403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62" name="Oval 61">
              <a:extLst>
                <a:ext uri="{FF2B5EF4-FFF2-40B4-BE49-F238E27FC236}">
                  <a16:creationId xmlns:a16="http://schemas.microsoft.com/office/drawing/2014/main" id="{B9096DF0-EE91-62FA-FADA-346B62EFA383}"/>
                </a:ext>
              </a:extLst>
            </xdr:cNvPr>
            <xdr:cNvSpPr/>
          </xdr:nvSpPr>
          <xdr:spPr>
            <a:xfrm>
              <a:off x="7001276" y="1906352"/>
              <a:ext cx="365760" cy="365760"/>
            </a:xfrm>
            <a:prstGeom prst="ellipse">
              <a:avLst/>
            </a:prstGeom>
            <a:solidFill>
              <a:srgbClr val="02403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63" name="Oval 62">
              <a:extLst>
                <a:ext uri="{FF2B5EF4-FFF2-40B4-BE49-F238E27FC236}">
                  <a16:creationId xmlns:a16="http://schemas.microsoft.com/office/drawing/2014/main" id="{7A3222C3-DBF7-1B1E-DA52-8A0DF3F0A75E}"/>
                </a:ext>
              </a:extLst>
            </xdr:cNvPr>
            <xdr:cNvSpPr/>
          </xdr:nvSpPr>
          <xdr:spPr>
            <a:xfrm>
              <a:off x="9430940" y="1906352"/>
              <a:ext cx="365760" cy="365760"/>
            </a:xfrm>
            <a:prstGeom prst="ellipse">
              <a:avLst/>
            </a:prstGeom>
            <a:solidFill>
              <a:srgbClr val="02403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64" name="Oval 63">
              <a:extLst>
                <a:ext uri="{FF2B5EF4-FFF2-40B4-BE49-F238E27FC236}">
                  <a16:creationId xmlns:a16="http://schemas.microsoft.com/office/drawing/2014/main" id="{25CC2702-C457-D70D-6FB7-FEDC36525671}"/>
                </a:ext>
              </a:extLst>
            </xdr:cNvPr>
            <xdr:cNvSpPr/>
          </xdr:nvSpPr>
          <xdr:spPr>
            <a:xfrm>
              <a:off x="11866235" y="1906352"/>
              <a:ext cx="365760" cy="365760"/>
            </a:xfrm>
            <a:prstGeom prst="ellipse">
              <a:avLst/>
            </a:prstGeom>
            <a:solidFill>
              <a:srgbClr val="02403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pic>
          <xdr:nvPicPr>
            <xdr:cNvPr id="65" name="Picture 64">
              <a:extLst>
                <a:ext uri="{FF2B5EF4-FFF2-40B4-BE49-F238E27FC236}">
                  <a16:creationId xmlns:a16="http://schemas.microsoft.com/office/drawing/2014/main" id="{49947E02-F707-252D-E3BC-7B1B8360936E}"/>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513860" y="1973665"/>
              <a:ext cx="228600" cy="228600"/>
            </a:xfrm>
            <a:prstGeom prst="rect">
              <a:avLst/>
            </a:prstGeom>
          </xdr:spPr>
        </xdr:pic>
        <xdr:pic>
          <xdr:nvPicPr>
            <xdr:cNvPr id="66" name="Picture 65">
              <a:extLst>
                <a:ext uri="{FF2B5EF4-FFF2-40B4-BE49-F238E27FC236}">
                  <a16:creationId xmlns:a16="http://schemas.microsoft.com/office/drawing/2014/main" id="{5FFA9B21-8AEB-7893-D3EF-F2C5F028AA4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643319" y="1973665"/>
              <a:ext cx="228600" cy="228600"/>
            </a:xfrm>
            <a:prstGeom prst="rect">
              <a:avLst/>
            </a:prstGeom>
          </xdr:spPr>
        </xdr:pic>
        <xdr:pic>
          <xdr:nvPicPr>
            <xdr:cNvPr id="67" name="Picture 66">
              <a:extLst>
                <a:ext uri="{FF2B5EF4-FFF2-40B4-BE49-F238E27FC236}">
                  <a16:creationId xmlns:a16="http://schemas.microsoft.com/office/drawing/2014/main" id="{834D8E88-949A-5F29-A239-6E5C5A70DD8A}"/>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7069856" y="1991746"/>
              <a:ext cx="228600" cy="228600"/>
            </a:xfrm>
            <a:prstGeom prst="rect">
              <a:avLst/>
            </a:prstGeom>
          </xdr:spPr>
        </xdr:pic>
        <xdr:pic>
          <xdr:nvPicPr>
            <xdr:cNvPr id="68" name="Picture 67">
              <a:extLst>
                <a:ext uri="{FF2B5EF4-FFF2-40B4-BE49-F238E27FC236}">
                  <a16:creationId xmlns:a16="http://schemas.microsoft.com/office/drawing/2014/main" id="{08F5E047-EC51-79A7-F231-73918B2C2B68}"/>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1934815" y="1973665"/>
              <a:ext cx="228600" cy="228600"/>
            </a:xfrm>
            <a:prstGeom prst="rect">
              <a:avLst/>
            </a:prstGeom>
          </xdr:spPr>
        </xdr:pic>
        <xdr:sp macro="" textlink="">
          <xdr:nvSpPr>
            <xdr:cNvPr id="69" name="TextBox 53">
              <a:extLst>
                <a:ext uri="{FF2B5EF4-FFF2-40B4-BE49-F238E27FC236}">
                  <a16:creationId xmlns:a16="http://schemas.microsoft.com/office/drawing/2014/main" id="{AA4A051A-8D69-6FB1-3CFC-8B553DDE7EEC}"/>
                </a:ext>
              </a:extLst>
            </xdr:cNvPr>
            <xdr:cNvSpPr txBox="1"/>
          </xdr:nvSpPr>
          <xdr:spPr>
            <a:xfrm>
              <a:off x="4528111" y="2284723"/>
              <a:ext cx="2163484" cy="246221"/>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000">
                  <a:solidFill>
                    <a:sysClr val="window" lastClr="FFFFFF">
                      <a:lumMod val="85000"/>
                    </a:sysClr>
                  </a:solidFill>
                  <a:latin typeface="Arial" panose="020B0604020202020204" pitchFamily="34" charset="0"/>
                  <a:cs typeface="Arial" panose="020B0604020202020204" pitchFamily="34" charset="0"/>
                </a:rPr>
                <a:t>Customers</a:t>
              </a:r>
            </a:p>
          </xdr:txBody>
        </xdr:sp>
        <xdr:sp macro="" textlink="">
          <xdr:nvSpPr>
            <xdr:cNvPr id="70" name="TextBox 55">
              <a:extLst>
                <a:ext uri="{FF2B5EF4-FFF2-40B4-BE49-F238E27FC236}">
                  <a16:creationId xmlns:a16="http://schemas.microsoft.com/office/drawing/2014/main" id="{FDD1E711-5293-D210-1D34-978B515CC4B4}"/>
                </a:ext>
              </a:extLst>
            </xdr:cNvPr>
            <xdr:cNvSpPr txBox="1"/>
          </xdr:nvSpPr>
          <xdr:spPr>
            <a:xfrm>
              <a:off x="6968350" y="2284723"/>
              <a:ext cx="2163484" cy="246221"/>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r>
                <a:rPr lang="en-US" sz="1000" kern="1200">
                  <a:solidFill>
                    <a:sysClr val="window" lastClr="FFFFFF">
                      <a:lumMod val="85000"/>
                    </a:sysClr>
                  </a:solidFill>
                  <a:latin typeface="Arial" panose="020B0604020202020204" pitchFamily="34" charset="0"/>
                  <a:ea typeface="+mn-ea"/>
                  <a:cs typeface="Arial" panose="020B0604020202020204" pitchFamily="34" charset="0"/>
                </a:rPr>
                <a:t>Average Age</a:t>
              </a:r>
            </a:p>
          </xdr:txBody>
        </xdr:sp>
        <xdr:sp macro="" textlink="">
          <xdr:nvSpPr>
            <xdr:cNvPr id="71" name="TextBox 56">
              <a:extLst>
                <a:ext uri="{FF2B5EF4-FFF2-40B4-BE49-F238E27FC236}">
                  <a16:creationId xmlns:a16="http://schemas.microsoft.com/office/drawing/2014/main" id="{E26E523F-1266-5BCA-3C06-7A0C4E5DFC46}"/>
                </a:ext>
              </a:extLst>
            </xdr:cNvPr>
            <xdr:cNvSpPr txBox="1"/>
          </xdr:nvSpPr>
          <xdr:spPr>
            <a:xfrm>
              <a:off x="9408589" y="2284723"/>
              <a:ext cx="2163484" cy="246221"/>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r>
                <a:rPr lang="en-US" sz="1000" kern="1200">
                  <a:solidFill>
                    <a:sysClr val="window" lastClr="FFFFFF">
                      <a:lumMod val="85000"/>
                    </a:sysClr>
                  </a:solidFill>
                  <a:latin typeface="Arial" panose="020B0604020202020204" pitchFamily="34" charset="0"/>
                  <a:ea typeface="+mn-ea"/>
                  <a:cs typeface="Arial" panose="020B0604020202020204" pitchFamily="34" charset="0"/>
                </a:rPr>
                <a:t>Average Income</a:t>
              </a:r>
            </a:p>
          </xdr:txBody>
        </xdr:sp>
        <xdr:sp macro="" textlink="">
          <xdr:nvSpPr>
            <xdr:cNvPr id="72" name="TextBox 57">
              <a:extLst>
                <a:ext uri="{FF2B5EF4-FFF2-40B4-BE49-F238E27FC236}">
                  <a16:creationId xmlns:a16="http://schemas.microsoft.com/office/drawing/2014/main" id="{A24EC006-8DCE-5367-E887-AE0D68E57DF1}"/>
                </a:ext>
              </a:extLst>
            </xdr:cNvPr>
            <xdr:cNvSpPr txBox="1"/>
          </xdr:nvSpPr>
          <xdr:spPr>
            <a:xfrm>
              <a:off x="11848828" y="2284723"/>
              <a:ext cx="2163484" cy="246221"/>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r>
                <a:rPr lang="en-US" sz="1000" kern="1200">
                  <a:solidFill>
                    <a:sysClr val="window" lastClr="FFFFFF">
                      <a:lumMod val="85000"/>
                    </a:sysClr>
                  </a:solidFill>
                  <a:latin typeface="Arial" panose="020B0604020202020204" pitchFamily="34" charset="0"/>
                  <a:ea typeface="+mn-ea"/>
                  <a:cs typeface="Arial" panose="020B0604020202020204" pitchFamily="34" charset="0"/>
                </a:rPr>
                <a:t>Average Tenure</a:t>
              </a:r>
            </a:p>
          </xdr:txBody>
        </xdr:sp>
      </xdr:grpSp>
      <xdr:sp macro="" textlink="totalcustomer">
        <xdr:nvSpPr>
          <xdr:cNvPr id="20" name="TextBox 27">
            <a:extLst>
              <a:ext uri="{FF2B5EF4-FFF2-40B4-BE49-F238E27FC236}">
                <a16:creationId xmlns:a16="http://schemas.microsoft.com/office/drawing/2014/main" id="{372FB5B9-0C28-F7DB-77B1-A731314F3C83}"/>
              </a:ext>
            </a:extLst>
          </xdr:cNvPr>
          <xdr:cNvSpPr txBox="1"/>
        </xdr:nvSpPr>
        <xdr:spPr>
          <a:xfrm>
            <a:off x="5059157" y="1712839"/>
            <a:ext cx="1202918" cy="368029"/>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44413759-9081-43E7-8691-F71498ED0B74}" type="TxLink">
              <a:rPr lang="en-US" sz="2800" kern="1200">
                <a:solidFill>
                  <a:sysClr val="window" lastClr="FFFFFF">
                    <a:lumMod val="85000"/>
                  </a:sysClr>
                </a:solidFill>
                <a:latin typeface="Arial" panose="020B0604020202020204" pitchFamily="34" charset="0"/>
                <a:ea typeface="+mn-ea"/>
                <a:cs typeface="Arial" panose="020B0604020202020204" pitchFamily="34" charset="0"/>
              </a:rPr>
              <a:pPr marL="0" indent="0" algn="ctr" defTabSz="914400" rtl="0" eaLnBrk="1" latinLnBrk="0" hangingPunct="1"/>
              <a:t>500</a:t>
            </a:fld>
            <a:endParaRPr lang="en-US" sz="2800" kern="1200">
              <a:solidFill>
                <a:sysClr val="window" lastClr="FFFFFF">
                  <a:lumMod val="85000"/>
                </a:sysClr>
              </a:solidFill>
              <a:latin typeface="Arial" panose="020B0604020202020204" pitchFamily="34" charset="0"/>
              <a:ea typeface="+mn-ea"/>
              <a:cs typeface="Arial" panose="020B0604020202020204" pitchFamily="34" charset="0"/>
            </a:endParaRPr>
          </a:p>
        </xdr:txBody>
      </xdr:sp>
      <xdr:sp macro="" textlink="avgage">
        <xdr:nvSpPr>
          <xdr:cNvPr id="21" name="TextBox 27">
            <a:extLst>
              <a:ext uri="{FF2B5EF4-FFF2-40B4-BE49-F238E27FC236}">
                <a16:creationId xmlns:a16="http://schemas.microsoft.com/office/drawing/2014/main" id="{EEEB4D4C-47EC-13DF-914A-768122DF8B89}"/>
              </a:ext>
            </a:extLst>
          </xdr:cNvPr>
          <xdr:cNvSpPr txBox="1"/>
        </xdr:nvSpPr>
        <xdr:spPr>
          <a:xfrm>
            <a:off x="7470643" y="1712839"/>
            <a:ext cx="1202917" cy="368029"/>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0C5C1786-76B6-4ACE-86AB-702DB9D08C26}" type="TxLink">
              <a:rPr lang="en-US" sz="2800" kern="1200">
                <a:solidFill>
                  <a:sysClr val="window" lastClr="FFFFFF">
                    <a:lumMod val="85000"/>
                  </a:sysClr>
                </a:solidFill>
                <a:latin typeface="Arial" panose="020B0604020202020204" pitchFamily="34" charset="0"/>
                <a:ea typeface="+mn-ea"/>
                <a:cs typeface="Arial" panose="020B0604020202020204" pitchFamily="34" charset="0"/>
              </a:rPr>
              <a:pPr marL="0" indent="0" algn="ctr" defTabSz="914400" rtl="0" eaLnBrk="1" latinLnBrk="0" hangingPunct="1"/>
              <a:t>46</a:t>
            </a:fld>
            <a:endParaRPr lang="en-US" sz="2800" kern="1200">
              <a:solidFill>
                <a:sysClr val="window" lastClr="FFFFFF">
                  <a:lumMod val="85000"/>
                </a:sysClr>
              </a:solidFill>
              <a:latin typeface="Arial" panose="020B0604020202020204" pitchFamily="34" charset="0"/>
              <a:ea typeface="+mn-ea"/>
              <a:cs typeface="Arial" panose="020B0604020202020204" pitchFamily="34" charset="0"/>
            </a:endParaRPr>
          </a:p>
        </xdr:txBody>
      </xdr:sp>
      <xdr:sp macro="" textlink="avgincome">
        <xdr:nvSpPr>
          <xdr:cNvPr id="22" name="TextBox 27">
            <a:extLst>
              <a:ext uri="{FF2B5EF4-FFF2-40B4-BE49-F238E27FC236}">
                <a16:creationId xmlns:a16="http://schemas.microsoft.com/office/drawing/2014/main" id="{A3E8E700-4391-B07F-29E5-2803C4F32628}"/>
              </a:ext>
            </a:extLst>
          </xdr:cNvPr>
          <xdr:cNvSpPr txBox="1"/>
        </xdr:nvSpPr>
        <xdr:spPr>
          <a:xfrm>
            <a:off x="9742984" y="1712839"/>
            <a:ext cx="1639277" cy="480678"/>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461938FD-E351-4EC8-91B9-020F558EBB59}" type="TxLink">
              <a:rPr lang="en-US" sz="2800" kern="1200">
                <a:solidFill>
                  <a:sysClr val="window" lastClr="FFFFFF">
                    <a:lumMod val="85000"/>
                  </a:sysClr>
                </a:solidFill>
                <a:latin typeface="Arial" panose="020B0604020202020204" pitchFamily="34" charset="0"/>
                <a:ea typeface="+mn-ea"/>
                <a:cs typeface="Arial" panose="020B0604020202020204" pitchFamily="34" charset="0"/>
              </a:rPr>
              <a:pPr marL="0" indent="0" algn="ctr" defTabSz="914400" rtl="0" eaLnBrk="1" latinLnBrk="0" hangingPunct="1"/>
              <a:t>$114.4K</a:t>
            </a:fld>
            <a:endParaRPr lang="en-US" sz="2800" kern="1200">
              <a:solidFill>
                <a:sysClr val="window" lastClr="FFFFFF">
                  <a:lumMod val="85000"/>
                </a:sysClr>
              </a:solidFill>
              <a:latin typeface="Arial" panose="020B0604020202020204" pitchFamily="34" charset="0"/>
              <a:ea typeface="+mn-ea"/>
              <a:cs typeface="Arial" panose="020B0604020202020204" pitchFamily="34" charset="0"/>
            </a:endParaRPr>
          </a:p>
        </xdr:txBody>
      </xdr:sp>
      <xdr:sp macro="" textlink="tenure">
        <xdr:nvSpPr>
          <xdr:cNvPr id="23" name="TextBox 27">
            <a:extLst>
              <a:ext uri="{FF2B5EF4-FFF2-40B4-BE49-F238E27FC236}">
                <a16:creationId xmlns:a16="http://schemas.microsoft.com/office/drawing/2014/main" id="{15C695F5-C7C9-E91A-9C67-738081A1AA9B}"/>
              </a:ext>
            </a:extLst>
          </xdr:cNvPr>
          <xdr:cNvSpPr txBox="1"/>
        </xdr:nvSpPr>
        <xdr:spPr>
          <a:xfrm>
            <a:off x="12327465" y="1712839"/>
            <a:ext cx="1202918" cy="368029"/>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marL="0" indent="0" algn="ctr" defTabSz="914400" rtl="0" eaLnBrk="1" latinLnBrk="0" hangingPunct="1"/>
            <a:fld id="{B77F5250-8566-4884-9D14-7E275FDBAB56}" type="TxLink">
              <a:rPr lang="en-US" sz="2800" kern="1200">
                <a:solidFill>
                  <a:sysClr val="window" lastClr="FFFFFF">
                    <a:lumMod val="85000"/>
                  </a:sysClr>
                </a:solidFill>
                <a:latin typeface="Arial" panose="020B0604020202020204" pitchFamily="34" charset="0"/>
                <a:ea typeface="+mn-ea"/>
                <a:cs typeface="Arial" panose="020B0604020202020204" pitchFamily="34" charset="0"/>
              </a:rPr>
              <a:pPr marL="0" indent="0" algn="ctr" defTabSz="914400" rtl="0" eaLnBrk="1" latinLnBrk="0" hangingPunct="1"/>
              <a:t>5</a:t>
            </a:fld>
            <a:endParaRPr lang="en-US" sz="2800" kern="1200">
              <a:solidFill>
                <a:sysClr val="window" lastClr="FFFFFF">
                  <a:lumMod val="85000"/>
                </a:sysClr>
              </a:solidFill>
              <a:latin typeface="Arial" panose="020B0604020202020204" pitchFamily="34" charset="0"/>
              <a:ea typeface="+mn-ea"/>
              <a:cs typeface="Arial" panose="020B0604020202020204"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110155</xdr:colOff>
      <xdr:row>1</xdr:row>
      <xdr:rowOff>100669</xdr:rowOff>
    </xdr:from>
    <xdr:to>
      <xdr:col>23</xdr:col>
      <xdr:colOff>460675</xdr:colOff>
      <xdr:row>37</xdr:row>
      <xdr:rowOff>63092</xdr:rowOff>
    </xdr:to>
    <xdr:sp macro="" textlink="">
      <xdr:nvSpPr>
        <xdr:cNvPr id="2" name="Rectangle: Rounded Corners 1">
          <a:extLst>
            <a:ext uri="{FF2B5EF4-FFF2-40B4-BE49-F238E27FC236}">
              <a16:creationId xmlns:a16="http://schemas.microsoft.com/office/drawing/2014/main" id="{E240E9CC-4AD1-4656-B5E8-AC0E0BCD5874}"/>
            </a:ext>
          </a:extLst>
        </xdr:cNvPr>
        <xdr:cNvSpPr/>
      </xdr:nvSpPr>
      <xdr:spPr>
        <a:xfrm>
          <a:off x="2548555" y="283549"/>
          <a:ext cx="11932920" cy="6546103"/>
        </a:xfrm>
        <a:prstGeom prst="roundRect">
          <a:avLst>
            <a:gd name="adj" fmla="val 4229"/>
          </a:avLst>
        </a:prstGeom>
        <a:solidFill>
          <a:srgbClr val="F0F0F0"/>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4</xdr:col>
      <xdr:colOff>78152</xdr:colOff>
      <xdr:row>1</xdr:row>
      <xdr:rowOff>89715</xdr:rowOff>
    </xdr:from>
    <xdr:to>
      <xdr:col>7</xdr:col>
      <xdr:colOff>20086</xdr:colOff>
      <xdr:row>37</xdr:row>
      <xdr:rowOff>61842</xdr:rowOff>
    </xdr:to>
    <xdr:sp macro="" textlink="">
      <xdr:nvSpPr>
        <xdr:cNvPr id="3" name="Rectangle: Top Corners Rounded 2">
          <a:extLst>
            <a:ext uri="{FF2B5EF4-FFF2-40B4-BE49-F238E27FC236}">
              <a16:creationId xmlns:a16="http://schemas.microsoft.com/office/drawing/2014/main" id="{B3BEB82A-4D80-4F1B-B326-BD42FE97AF68}"/>
            </a:ext>
          </a:extLst>
        </xdr:cNvPr>
        <xdr:cNvSpPr/>
      </xdr:nvSpPr>
      <xdr:spPr>
        <a:xfrm rot="16200000">
          <a:off x="124015" y="2665132"/>
          <a:ext cx="6555807" cy="1770734"/>
        </a:xfrm>
        <a:prstGeom prst="round2SameRect">
          <a:avLst>
            <a:gd name="adj1" fmla="val 17023"/>
            <a:gd name="adj2" fmla="val 0"/>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7</xdr:col>
      <xdr:colOff>153671</xdr:colOff>
      <xdr:row>5</xdr:row>
      <xdr:rowOff>66257</xdr:rowOff>
    </xdr:from>
    <xdr:to>
      <xdr:col>23</xdr:col>
      <xdr:colOff>275591</xdr:colOff>
      <xdr:row>5</xdr:row>
      <xdr:rowOff>66257</xdr:rowOff>
    </xdr:to>
    <xdr:cxnSp macro="">
      <xdr:nvCxnSpPr>
        <xdr:cNvPr id="4" name="Straight Connector 3">
          <a:extLst>
            <a:ext uri="{FF2B5EF4-FFF2-40B4-BE49-F238E27FC236}">
              <a16:creationId xmlns:a16="http://schemas.microsoft.com/office/drawing/2014/main" id="{10E8BE24-66A9-47F3-AA6D-F8C30B4E9783}"/>
            </a:ext>
          </a:extLst>
        </xdr:cNvPr>
        <xdr:cNvCxnSpPr>
          <a:cxnSpLocks/>
        </xdr:cNvCxnSpPr>
      </xdr:nvCxnSpPr>
      <xdr:spPr>
        <a:xfrm>
          <a:off x="4420871" y="980657"/>
          <a:ext cx="9875520" cy="0"/>
        </a:xfrm>
        <a:prstGeom prst="line">
          <a:avLst/>
        </a:prstGeom>
        <a:noFill/>
        <a:ln w="12700" cap="flat" cmpd="sng" algn="ctr">
          <a:solidFill>
            <a:sysClr val="window" lastClr="FFFFFF">
              <a:lumMod val="65000"/>
            </a:sysClr>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144961</xdr:colOff>
      <xdr:row>2</xdr:row>
      <xdr:rowOff>16899</xdr:rowOff>
    </xdr:from>
    <xdr:to>
      <xdr:col>13</xdr:col>
      <xdr:colOff>432771</xdr:colOff>
      <xdr:row>4</xdr:row>
      <xdr:rowOff>13698</xdr:rowOff>
    </xdr:to>
    <xdr:sp macro="" textlink="">
      <xdr:nvSpPr>
        <xdr:cNvPr id="5" name="TextBox 27">
          <a:extLst>
            <a:ext uri="{FF2B5EF4-FFF2-40B4-BE49-F238E27FC236}">
              <a16:creationId xmlns:a16="http://schemas.microsoft.com/office/drawing/2014/main" id="{E71BC2EB-DBFD-4CDF-BA6D-592F6862456E}"/>
            </a:ext>
          </a:extLst>
        </xdr:cNvPr>
        <xdr:cNvSpPr txBox="1"/>
      </xdr:nvSpPr>
      <xdr:spPr>
        <a:xfrm>
          <a:off x="4412161" y="382659"/>
          <a:ext cx="3945410" cy="362559"/>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b="1">
              <a:solidFill>
                <a:sysClr val="window" lastClr="FFFFFF">
                  <a:lumMod val="50000"/>
                </a:sysClr>
              </a:solidFill>
              <a:latin typeface="Arial" panose="020B0604020202020204" pitchFamily="34" charset="0"/>
              <a:cs typeface="Arial" panose="020B0604020202020204" pitchFamily="34" charset="0"/>
            </a:rPr>
            <a:t>Post Analysis Board</a:t>
          </a:r>
        </a:p>
      </xdr:txBody>
    </xdr:sp>
    <xdr:clientData/>
  </xdr:twoCellAnchor>
  <xdr:twoCellAnchor>
    <xdr:from>
      <xdr:col>7</xdr:col>
      <xdr:colOff>178828</xdr:colOff>
      <xdr:row>3</xdr:row>
      <xdr:rowOff>104476</xdr:rowOff>
    </xdr:from>
    <xdr:to>
      <xdr:col>17</xdr:col>
      <xdr:colOff>5860</xdr:colOff>
      <xdr:row>4</xdr:row>
      <xdr:rowOff>157981</xdr:rowOff>
    </xdr:to>
    <xdr:sp macro="" textlink="">
      <xdr:nvSpPr>
        <xdr:cNvPr id="6" name="TextBox 27">
          <a:extLst>
            <a:ext uri="{FF2B5EF4-FFF2-40B4-BE49-F238E27FC236}">
              <a16:creationId xmlns:a16="http://schemas.microsoft.com/office/drawing/2014/main" id="{91C518CD-AD9A-4D90-AA72-DBCCE5D58FCB}"/>
            </a:ext>
          </a:extLst>
        </xdr:cNvPr>
        <xdr:cNvSpPr txBox="1"/>
      </xdr:nvSpPr>
      <xdr:spPr>
        <a:xfrm>
          <a:off x="4446028" y="653116"/>
          <a:ext cx="5923032" cy="236385"/>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050" i="0">
              <a:solidFill>
                <a:sysClr val="window" lastClr="FFFFFF">
                  <a:lumMod val="50000"/>
                </a:sysClr>
              </a:solidFill>
              <a:latin typeface="Bahnschrift Light SemiCondensed" panose="020B0502040204020203" pitchFamily="34" charset="0"/>
              <a:cs typeface="Arial" panose="020B0604020202020204" pitchFamily="34" charset="0"/>
            </a:rPr>
            <a:t>Actionable Insights: Strategies forEnhancing Customer Engagementand Experiance</a:t>
          </a:r>
        </a:p>
      </xdr:txBody>
    </xdr:sp>
    <xdr:clientData/>
  </xdr:twoCellAnchor>
  <xdr:twoCellAnchor>
    <xdr:from>
      <xdr:col>7</xdr:col>
      <xdr:colOff>287569</xdr:colOff>
      <xdr:row>5</xdr:row>
      <xdr:rowOff>173084</xdr:rowOff>
    </xdr:from>
    <xdr:to>
      <xdr:col>13</xdr:col>
      <xdr:colOff>298044</xdr:colOff>
      <xdr:row>7</xdr:row>
      <xdr:rowOff>77549</xdr:rowOff>
    </xdr:to>
    <xdr:sp macro="" textlink="">
      <xdr:nvSpPr>
        <xdr:cNvPr id="27" name="TextBox 52">
          <a:extLst>
            <a:ext uri="{FF2B5EF4-FFF2-40B4-BE49-F238E27FC236}">
              <a16:creationId xmlns:a16="http://schemas.microsoft.com/office/drawing/2014/main" id="{088574F9-088A-4D6C-9AE3-5BCB777A86E4}"/>
            </a:ext>
          </a:extLst>
        </xdr:cNvPr>
        <xdr:cNvSpPr txBox="1"/>
      </xdr:nvSpPr>
      <xdr:spPr>
        <a:xfrm>
          <a:off x="4554769" y="1087484"/>
          <a:ext cx="3668075" cy="270225"/>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200">
              <a:solidFill>
                <a:sysClr val="window" lastClr="FFFFFF">
                  <a:lumMod val="50000"/>
                </a:sysClr>
              </a:solidFill>
              <a:latin typeface="Arial" panose="020B0604020202020204" pitchFamily="34" charset="0"/>
              <a:cs typeface="Arial" panose="020B0604020202020204" pitchFamily="34" charset="0"/>
            </a:rPr>
            <a:t>Customer Wealth Profile</a:t>
          </a:r>
        </a:p>
      </xdr:txBody>
    </xdr:sp>
    <xdr:clientData/>
  </xdr:twoCellAnchor>
  <xdr:twoCellAnchor>
    <xdr:from>
      <xdr:col>7</xdr:col>
      <xdr:colOff>176555</xdr:colOff>
      <xdr:row>5</xdr:row>
      <xdr:rowOff>103751</xdr:rowOff>
    </xdr:from>
    <xdr:to>
      <xdr:col>15</xdr:col>
      <xdr:colOff>200109</xdr:colOff>
      <xdr:row>36</xdr:row>
      <xdr:rowOff>68383</xdr:rowOff>
    </xdr:to>
    <xdr:sp macro="" textlink="">
      <xdr:nvSpPr>
        <xdr:cNvPr id="28" name="Rectangle: Rounded Corners 27">
          <a:extLst>
            <a:ext uri="{FF2B5EF4-FFF2-40B4-BE49-F238E27FC236}">
              <a16:creationId xmlns:a16="http://schemas.microsoft.com/office/drawing/2014/main" id="{0F2B1322-F53D-414A-8AC2-225FB732F195}"/>
            </a:ext>
          </a:extLst>
        </xdr:cNvPr>
        <xdr:cNvSpPr/>
      </xdr:nvSpPr>
      <xdr:spPr>
        <a:xfrm>
          <a:off x="4416401" y="1031828"/>
          <a:ext cx="4869093" cy="5718709"/>
        </a:xfrm>
        <a:prstGeom prst="roundRect">
          <a:avLst>
            <a:gd name="adj" fmla="val 2922"/>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marL="0" indent="0" algn="l" defTabSz="914400" rtl="0" eaLnBrk="1" latinLnBrk="0" hangingPunct="1"/>
          <a:endParaRPr lang="en-US" sz="1100"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b="1" kern="1200">
              <a:solidFill>
                <a:srgbClr val="02403D"/>
              </a:solidFill>
              <a:latin typeface="Arial" panose="020B0604020202020204" pitchFamily="34" charset="0"/>
              <a:ea typeface="+mn-ea"/>
              <a:cs typeface="Arial" panose="020B0604020202020204" pitchFamily="34" charset="0"/>
            </a:rPr>
            <a:t>I. Executive &amp; Strategic Observations (For CEO / Board)</a:t>
          </a:r>
        </a:p>
        <a:p>
          <a:pPr marL="0" indent="0" algn="l" defTabSz="914400" rtl="0" eaLnBrk="1" latinLnBrk="0" hangingPunct="1"/>
          <a:endParaRPr lang="en-US" sz="1100" b="1"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kern="1200">
              <a:solidFill>
                <a:srgbClr val="02403D"/>
              </a:solidFill>
              <a:latin typeface="Arial" panose="020B0604020202020204" pitchFamily="34" charset="0"/>
              <a:ea typeface="+mn-ea"/>
              <a:cs typeface="Arial" panose="020B0604020202020204" pitchFamily="34" charset="0"/>
            </a:rPr>
            <a:t>- The most critical observation is the 51% collapse in customer acquisition between 2024 (51 new customers) and 2025 (25 new customers). After a decade of relatively stable growth, this sudden drop indicates either a significant failure in the 2025 marketing strategy, an aggressive new competitor, or a product-market misfit.</a:t>
          </a:r>
        </a:p>
        <a:p>
          <a:pPr marL="0" indent="0" algn="l" defTabSz="914400" rtl="0" eaLnBrk="1" latinLnBrk="0" hangingPunct="1"/>
          <a:endParaRPr lang="en-US" sz="1100"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kern="1200">
              <a:solidFill>
                <a:srgbClr val="02403D"/>
              </a:solidFill>
              <a:latin typeface="Arial" panose="020B0604020202020204" pitchFamily="34" charset="0"/>
              <a:ea typeface="+mn-ea"/>
              <a:cs typeface="Arial" panose="020B0604020202020204" pitchFamily="34" charset="0"/>
            </a:rPr>
            <a:t>- While the average income is a healthy $114.4K, the "High" wealth bracket is dominated by Females (81) compared to Males (72) suggests that the institution's growth engine is increasingly powered by high-earning professional women.</a:t>
          </a:r>
        </a:p>
        <a:p>
          <a:pPr marL="0" indent="0" algn="l" defTabSz="914400" rtl="0" eaLnBrk="1" latinLnBrk="0" hangingPunct="1"/>
          <a:endParaRPr lang="en-US" sz="1100"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kern="1200">
              <a:solidFill>
                <a:srgbClr val="02403D"/>
              </a:solidFill>
              <a:latin typeface="Arial" panose="020B0604020202020204" pitchFamily="34" charset="0"/>
              <a:ea typeface="+mn-ea"/>
              <a:cs typeface="Arial" panose="020B0604020202020204" pitchFamily="34" charset="0"/>
            </a:rPr>
            <a:t>- With an average age of 46, your customer base is in their peak earning years. However, the average tenure is only 5 years, meaning the business is not yet capturing the full Lifetime Value of these clients, as many are still relatively "New" or "Emerging".</a:t>
          </a:r>
        </a:p>
        <a:p>
          <a:pPr marL="0" indent="0" algn="l" defTabSz="914400" rtl="0" eaLnBrk="1" latinLnBrk="0" hangingPunct="1"/>
          <a:endParaRPr lang="en-US" sz="1100"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b="1" kern="1200">
              <a:solidFill>
                <a:srgbClr val="02403D"/>
              </a:solidFill>
              <a:latin typeface="Arial" panose="020B0604020202020204" pitchFamily="34" charset="0"/>
              <a:ea typeface="+mn-ea"/>
              <a:cs typeface="Arial" panose="020B0604020202020204" pitchFamily="34" charset="0"/>
            </a:rPr>
            <a:t>II. Marketing &amp; Acquisition Observations (For CMO)</a:t>
          </a:r>
        </a:p>
        <a:p>
          <a:pPr marL="0" indent="0" algn="l" defTabSz="914400" rtl="0" eaLnBrk="1" latinLnBrk="0" hangingPunct="1"/>
          <a:endParaRPr lang="en-US" sz="1100" b="1"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kern="1200">
              <a:solidFill>
                <a:srgbClr val="02403D"/>
              </a:solidFill>
              <a:latin typeface="Arial" panose="020B0604020202020204" pitchFamily="34" charset="0"/>
              <a:ea typeface="+mn-ea"/>
              <a:cs typeface="Arial" panose="020B0604020202020204" pitchFamily="34" charset="0"/>
            </a:rPr>
            <a:t>- There is a generational disconnect seeing the Millennials (147) and Gen X (141) make up the bulk of your active users. However, Gen Z (86) is significantly underrepresented, which is indicating a potential brand-relevance issue with the youngest professional cohort.</a:t>
          </a:r>
        </a:p>
        <a:p>
          <a:pPr marL="0" indent="0" algn="l" defTabSz="914400" rtl="0" eaLnBrk="1" latinLnBrk="0" hangingPunct="1"/>
          <a:endParaRPr lang="en-US" sz="1100"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kern="1200">
              <a:solidFill>
                <a:srgbClr val="02403D"/>
              </a:solidFill>
              <a:latin typeface="Arial" panose="020B0604020202020204" pitchFamily="34" charset="0"/>
              <a:ea typeface="+mn-ea"/>
              <a:cs typeface="Arial" panose="020B0604020202020204" pitchFamily="34" charset="0"/>
            </a:rPr>
            <a:t>- There are 69 students in the database, with a nearly even gender split (36 Female, 33 Male). In a financial context, these are likely graduate students (Medical, Law, or MBA) given the high average income of the overall base.</a:t>
          </a:r>
        </a:p>
        <a:p>
          <a:pPr marL="0" indent="0" algn="l" defTabSz="914400" rtl="0" eaLnBrk="1" latinLnBrk="0" hangingPunct="1"/>
          <a:endParaRPr lang="en-US" sz="1100"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kern="1200">
              <a:solidFill>
                <a:srgbClr val="02403D"/>
              </a:solidFill>
              <a:latin typeface="Arial" panose="020B0604020202020204" pitchFamily="34" charset="0"/>
              <a:ea typeface="+mn-ea"/>
              <a:cs typeface="Arial" panose="020B0604020202020204" pitchFamily="34" charset="0"/>
            </a:rPr>
            <a:t>- Only 40% of customers are classified as Loyal. This means 60% of our customer base are 29% Legacy (potentially stagnant), 20% Emerging (vulnerable to poaching), and 11% New (untested).</a:t>
          </a:r>
        </a:p>
        <a:p>
          <a:pPr marL="0" indent="0" algn="l" defTabSz="914400" rtl="0" eaLnBrk="1" latinLnBrk="0" hangingPunct="1"/>
          <a:endParaRPr lang="en-US" sz="1100"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endParaRPr lang="en-US" sz="1100" kern="1200">
            <a:solidFill>
              <a:srgbClr val="02403D"/>
            </a:solidFill>
            <a:latin typeface="Arial" panose="020B0604020202020204" pitchFamily="34" charset="0"/>
            <a:ea typeface="+mn-ea"/>
            <a:cs typeface="Arial" panose="020B0604020202020204" pitchFamily="34" charset="0"/>
          </a:endParaRPr>
        </a:p>
      </xdr:txBody>
    </xdr:sp>
    <xdr:clientData/>
  </xdr:twoCellAnchor>
  <xdr:twoCellAnchor>
    <xdr:from>
      <xdr:col>15</xdr:col>
      <xdr:colOff>328136</xdr:colOff>
      <xdr:row>5</xdr:row>
      <xdr:rowOff>103751</xdr:rowOff>
    </xdr:from>
    <xdr:to>
      <xdr:col>23</xdr:col>
      <xdr:colOff>351691</xdr:colOff>
      <xdr:row>36</xdr:row>
      <xdr:rowOff>72292</xdr:rowOff>
    </xdr:to>
    <xdr:sp macro="" textlink="">
      <xdr:nvSpPr>
        <xdr:cNvPr id="29" name="Rectangle: Rounded Corners 28">
          <a:extLst>
            <a:ext uri="{FF2B5EF4-FFF2-40B4-BE49-F238E27FC236}">
              <a16:creationId xmlns:a16="http://schemas.microsoft.com/office/drawing/2014/main" id="{05BB0FE0-791E-4783-AC15-58EBF0C51E52}"/>
            </a:ext>
          </a:extLst>
        </xdr:cNvPr>
        <xdr:cNvSpPr/>
      </xdr:nvSpPr>
      <xdr:spPr>
        <a:xfrm>
          <a:off x="9413521" y="1031828"/>
          <a:ext cx="4869093" cy="5722618"/>
        </a:xfrm>
        <a:prstGeom prst="roundRect">
          <a:avLst>
            <a:gd name="adj" fmla="val 4126"/>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III. Sales &amp; Relationship Management (For Head of Sales)</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 There are 136 customers in the "Medium" wealth profile. This is the most "movable" group; with the right cross-selling, because they can be migrated to the "High" profile.</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 The professional profile is a "Low-Risk" profile seeing its well-diversified, with Doctors (72) and Teachers (77) being the largest groups. Even at that, these professions are recession-resistant.</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 A significant portion of the donut chart is labeled as "Emerging" or "New". These customers have high incomes ($114.4K avg) but low tenure. They are currently "profit-neutral" and require high-touch service to become "Loyal".</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IV. Operations &amp; Risk Observations (For COO / CRO)</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 There are 75 "Retired" customers in the base. As they move into the decumulation phase of their lifecycle, the bank faces the risk of "Assets Under Management" (AUM) outflow.</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 Several "Retired" and "Student" individuals show "Low" income brackets highlighting the need for better data on Net Worth rather than just Annual Income to accurately segment wealth.</a:t>
          </a:r>
          <a:endParaRPr lang="en-US" sz="2000" kern="1200">
            <a:solidFill>
              <a:sysClr val="window" lastClr="FFFFFF"/>
            </a:solidFill>
            <a:latin typeface="Aptos" panose="02110004020202020204"/>
            <a:ea typeface="+mn-ea"/>
            <a:cs typeface="+mn-cs"/>
          </a:endParaRPr>
        </a:p>
      </xdr:txBody>
    </xdr:sp>
    <xdr:clientData/>
  </xdr:twoCellAnchor>
  <xdr:twoCellAnchor>
    <xdr:from>
      <xdr:col>7</xdr:col>
      <xdr:colOff>185616</xdr:colOff>
      <xdr:row>5</xdr:row>
      <xdr:rowOff>46976</xdr:rowOff>
    </xdr:from>
    <xdr:to>
      <xdr:col>15</xdr:col>
      <xdr:colOff>185615</xdr:colOff>
      <xdr:row>7</xdr:row>
      <xdr:rowOff>9773</xdr:rowOff>
    </xdr:to>
    <xdr:sp macro="" textlink="">
      <xdr:nvSpPr>
        <xdr:cNvPr id="30" name="TextBox 51">
          <a:extLst>
            <a:ext uri="{FF2B5EF4-FFF2-40B4-BE49-F238E27FC236}">
              <a16:creationId xmlns:a16="http://schemas.microsoft.com/office/drawing/2014/main" id="{2FA9C182-B92C-4445-8983-FFCF5FFF23D3}"/>
            </a:ext>
          </a:extLst>
        </xdr:cNvPr>
        <xdr:cNvSpPr txBox="1"/>
      </xdr:nvSpPr>
      <xdr:spPr>
        <a:xfrm>
          <a:off x="4425462" y="975053"/>
          <a:ext cx="4845538" cy="334028"/>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b="1">
              <a:solidFill>
                <a:srgbClr val="02403D"/>
              </a:solidFill>
              <a:latin typeface="Arial" panose="020B0604020202020204" pitchFamily="34" charset="0"/>
              <a:cs typeface="Arial" panose="020B0604020202020204" pitchFamily="34" charset="0"/>
            </a:rPr>
            <a:t>Observation</a:t>
          </a:r>
        </a:p>
      </xdr:txBody>
    </xdr:sp>
    <xdr:clientData/>
  </xdr:twoCellAnchor>
  <xdr:twoCellAnchor>
    <xdr:from>
      <xdr:col>4</xdr:col>
      <xdr:colOff>164377</xdr:colOff>
      <xdr:row>11</xdr:row>
      <xdr:rowOff>10295</xdr:rowOff>
    </xdr:from>
    <xdr:to>
      <xdr:col>6</xdr:col>
      <xdr:colOff>535353</xdr:colOff>
      <xdr:row>13</xdr:row>
      <xdr:rowOff>103231</xdr:rowOff>
    </xdr:to>
    <xdr:grpSp>
      <xdr:nvGrpSpPr>
        <xdr:cNvPr id="46" name="Group 45">
          <a:extLst>
            <a:ext uri="{FF2B5EF4-FFF2-40B4-BE49-F238E27FC236}">
              <a16:creationId xmlns:a16="http://schemas.microsoft.com/office/drawing/2014/main" id="{4DF1735F-EBC5-9737-7E4B-83EB5D671F92}"/>
            </a:ext>
          </a:extLst>
        </xdr:cNvPr>
        <xdr:cNvGrpSpPr/>
      </xdr:nvGrpSpPr>
      <xdr:grpSpPr>
        <a:xfrm>
          <a:off x="2602777" y="2059228"/>
          <a:ext cx="1590176" cy="465470"/>
          <a:chOff x="2587146" y="2052064"/>
          <a:chExt cx="1582361" cy="464167"/>
        </a:xfrm>
      </xdr:grpSpPr>
      <xdr:grpSp>
        <xdr:nvGrpSpPr>
          <xdr:cNvPr id="11" name="Group 10">
            <a:extLst>
              <a:ext uri="{FF2B5EF4-FFF2-40B4-BE49-F238E27FC236}">
                <a16:creationId xmlns:a16="http://schemas.microsoft.com/office/drawing/2014/main" id="{94AE3FB0-88EE-45FD-9D19-B0EEA7609A7E}"/>
              </a:ext>
            </a:extLst>
          </xdr:cNvPr>
          <xdr:cNvGrpSpPr/>
        </xdr:nvGrpSpPr>
        <xdr:grpSpPr>
          <a:xfrm>
            <a:off x="2587146" y="2052064"/>
            <a:ext cx="1582361" cy="464167"/>
            <a:chOff x="2556709" y="1315890"/>
            <a:chExt cx="1594187" cy="448742"/>
          </a:xfrm>
        </xdr:grpSpPr>
        <xdr:sp macro="" textlink="">
          <xdr:nvSpPr>
            <xdr:cNvPr id="12" name="Rectangle: Rounded Corners 11">
              <a:extLst>
                <a:ext uri="{FF2B5EF4-FFF2-40B4-BE49-F238E27FC236}">
                  <a16:creationId xmlns:a16="http://schemas.microsoft.com/office/drawing/2014/main" id="{A851E273-ADBB-1324-764B-AECE34604D91}"/>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13" name="Oval 12">
              <a:extLst>
                <a:ext uri="{FF2B5EF4-FFF2-40B4-BE49-F238E27FC236}">
                  <a16:creationId xmlns:a16="http://schemas.microsoft.com/office/drawing/2014/main" id="{660F503D-CDFA-ED07-B72F-0F0952FA45A0}"/>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14" name="TextBox 50">
              <a:extLst>
                <a:ext uri="{FF2B5EF4-FFF2-40B4-BE49-F238E27FC236}">
                  <a16:creationId xmlns:a16="http://schemas.microsoft.com/office/drawing/2014/main" id="{80696D43-B943-CFAB-9E33-F8DF109FA118}"/>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Pre Analysis</a:t>
              </a:r>
            </a:p>
          </xdr:txBody>
        </xdr:sp>
      </xdr:grpSp>
      <xdr:pic>
        <xdr:nvPicPr>
          <xdr:cNvPr id="36" name="Picture 35">
            <a:hlinkClick xmlns:r="http://schemas.openxmlformats.org/officeDocument/2006/relationships" r:id="rId1"/>
            <a:extLst>
              <a:ext uri="{FF2B5EF4-FFF2-40B4-BE49-F238E27FC236}">
                <a16:creationId xmlns:a16="http://schemas.microsoft.com/office/drawing/2014/main" id="{5E51EF05-82BB-46F4-97E7-D931289B7B4D}"/>
              </a:ext>
            </a:extLst>
          </xdr:cNvPr>
          <xdr:cNvPicPr>
            <a:picLocks noChangeAspect="1"/>
          </xdr:cNvPicPr>
        </xdr:nvPicPr>
        <xdr:blipFill>
          <a:blip xmlns:r="http://schemas.openxmlformats.org/officeDocument/2006/relationships" r:embed="rId2" cstate="print">
            <a:duotone>
              <a:prstClr val="black"/>
              <a:schemeClr val="tx2">
                <a:tint val="45000"/>
                <a:satMod val="400000"/>
              </a:schemeClr>
            </a:duotone>
            <a:extLst>
              <a:ext uri="{BEBA8EAE-BF5A-486C-A8C5-ECC9F3942E4B}">
                <a14:imgProps xmlns:a14="http://schemas.microsoft.com/office/drawing/2010/main">
                  <a14:imgLayer r:embed="rId3">
                    <a14:imgEffect>
                      <a14:sharpenSoften amount="50000"/>
                    </a14:imgEffect>
                  </a14:imgLayer>
                </a14:imgProps>
              </a:ext>
              <a:ext uri="{28A0092B-C50C-407E-A947-70E740481C1C}">
                <a14:useLocalDpi xmlns:a14="http://schemas.microsoft.com/office/drawing/2010/main" val="0"/>
              </a:ext>
            </a:extLst>
          </a:blip>
          <a:stretch>
            <a:fillRect/>
          </a:stretch>
        </xdr:blipFill>
        <xdr:spPr>
          <a:xfrm>
            <a:off x="2706077" y="2159001"/>
            <a:ext cx="228600" cy="228600"/>
          </a:xfrm>
          <a:prstGeom prst="rect">
            <a:avLst/>
          </a:prstGeom>
        </xdr:spPr>
      </xdr:pic>
    </xdr:grpSp>
    <xdr:clientData/>
  </xdr:twoCellAnchor>
  <xdr:twoCellAnchor>
    <xdr:from>
      <xdr:col>4</xdr:col>
      <xdr:colOff>164377</xdr:colOff>
      <xdr:row>18</xdr:row>
      <xdr:rowOff>2000</xdr:rowOff>
    </xdr:from>
    <xdr:to>
      <xdr:col>6</xdr:col>
      <xdr:colOff>535353</xdr:colOff>
      <xdr:row>20</xdr:row>
      <xdr:rowOff>92201</xdr:rowOff>
    </xdr:to>
    <xdr:grpSp>
      <xdr:nvGrpSpPr>
        <xdr:cNvPr id="43" name="Group 42">
          <a:extLst>
            <a:ext uri="{FF2B5EF4-FFF2-40B4-BE49-F238E27FC236}">
              <a16:creationId xmlns:a16="http://schemas.microsoft.com/office/drawing/2014/main" id="{DF0BDB71-AED3-0C18-3D36-142016151A61}"/>
            </a:ext>
          </a:extLst>
        </xdr:cNvPr>
        <xdr:cNvGrpSpPr/>
      </xdr:nvGrpSpPr>
      <xdr:grpSpPr>
        <a:xfrm>
          <a:off x="2602777" y="3354800"/>
          <a:ext cx="1590176" cy="462734"/>
          <a:chOff x="2587146" y="3343077"/>
          <a:chExt cx="1582361" cy="461432"/>
        </a:xfrm>
      </xdr:grpSpPr>
      <xdr:grpSp>
        <xdr:nvGrpSpPr>
          <xdr:cNvPr id="19" name="Group 18">
            <a:extLst>
              <a:ext uri="{FF2B5EF4-FFF2-40B4-BE49-F238E27FC236}">
                <a16:creationId xmlns:a16="http://schemas.microsoft.com/office/drawing/2014/main" id="{BB812781-2271-44BB-8D4B-CBCE63813570}"/>
              </a:ext>
            </a:extLst>
          </xdr:cNvPr>
          <xdr:cNvGrpSpPr/>
        </xdr:nvGrpSpPr>
        <xdr:grpSpPr>
          <a:xfrm>
            <a:off x="2587146" y="3343077"/>
            <a:ext cx="1582361" cy="461432"/>
            <a:chOff x="2556709" y="1315890"/>
            <a:chExt cx="1594187" cy="448742"/>
          </a:xfrm>
        </xdr:grpSpPr>
        <xdr:sp macro="" textlink="">
          <xdr:nvSpPr>
            <xdr:cNvPr id="20" name="Rectangle: Rounded Corners 19">
              <a:extLst>
                <a:ext uri="{FF2B5EF4-FFF2-40B4-BE49-F238E27FC236}">
                  <a16:creationId xmlns:a16="http://schemas.microsoft.com/office/drawing/2014/main" id="{1705FFAF-6170-89D7-8255-1C55467B47F2}"/>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1" name="Oval 20">
              <a:extLst>
                <a:ext uri="{FF2B5EF4-FFF2-40B4-BE49-F238E27FC236}">
                  <a16:creationId xmlns:a16="http://schemas.microsoft.com/office/drawing/2014/main" id="{01E908FD-593A-1E60-0C6E-E3B29751FE5B}"/>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2" name="TextBox 50">
              <a:extLst>
                <a:ext uri="{FF2B5EF4-FFF2-40B4-BE49-F238E27FC236}">
                  <a16:creationId xmlns:a16="http://schemas.microsoft.com/office/drawing/2014/main" id="{67166149-FDC5-E81D-F1FE-7A362EED2E3D}"/>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Dashboard</a:t>
              </a:r>
            </a:p>
          </xdr:txBody>
        </xdr:sp>
      </xdr:grpSp>
      <xdr:pic>
        <xdr:nvPicPr>
          <xdr:cNvPr id="37" name="Picture 36">
            <a:hlinkClick xmlns:r="http://schemas.openxmlformats.org/officeDocument/2006/relationships" r:id="rId4"/>
            <a:extLst>
              <a:ext uri="{FF2B5EF4-FFF2-40B4-BE49-F238E27FC236}">
                <a16:creationId xmlns:a16="http://schemas.microsoft.com/office/drawing/2014/main" id="{9798A8EB-00BC-4192-B44E-745C98407130}"/>
              </a:ext>
            </a:extLst>
          </xdr:cNvPr>
          <xdr:cNvPicPr>
            <a:picLocks noChangeAspect="1"/>
          </xdr:cNvPicPr>
        </xdr:nvPicPr>
        <xdr:blipFill>
          <a:blip xmlns:r="http://schemas.openxmlformats.org/officeDocument/2006/relationships" r:embed="rId5" cstate="print">
            <a:duotone>
              <a:prstClr val="black"/>
              <a:srgbClr val="134E4C">
                <a:tint val="45000"/>
                <a:satMod val="400000"/>
              </a:srgbClr>
            </a:duotone>
            <a:extLst>
              <a:ext uri="{BEBA8EAE-BF5A-486C-A8C5-ECC9F3942E4B}">
                <a14:imgProps xmlns:a14="http://schemas.microsoft.com/office/drawing/2010/main">
                  <a14:imgLayer r:embed="rId6">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2690000" y="3452001"/>
            <a:ext cx="228600" cy="228600"/>
          </a:xfrm>
          <a:prstGeom prst="rect">
            <a:avLst/>
          </a:prstGeom>
        </xdr:spPr>
      </xdr:pic>
    </xdr:grpSp>
    <xdr:clientData/>
  </xdr:twoCellAnchor>
  <xdr:twoCellAnchor>
    <xdr:from>
      <xdr:col>4</xdr:col>
      <xdr:colOff>164377</xdr:colOff>
      <xdr:row>14</xdr:row>
      <xdr:rowOff>100158</xdr:rowOff>
    </xdr:from>
    <xdr:to>
      <xdr:col>6</xdr:col>
      <xdr:colOff>535353</xdr:colOff>
      <xdr:row>17</xdr:row>
      <xdr:rowOff>2337</xdr:rowOff>
    </xdr:to>
    <xdr:grpSp>
      <xdr:nvGrpSpPr>
        <xdr:cNvPr id="45" name="Group 44">
          <a:extLst>
            <a:ext uri="{FF2B5EF4-FFF2-40B4-BE49-F238E27FC236}">
              <a16:creationId xmlns:a16="http://schemas.microsoft.com/office/drawing/2014/main" id="{8C839DC2-EFE6-94AF-404A-50B21C78E7AA}"/>
            </a:ext>
          </a:extLst>
        </xdr:cNvPr>
        <xdr:cNvGrpSpPr/>
      </xdr:nvGrpSpPr>
      <xdr:grpSpPr>
        <a:xfrm>
          <a:off x="2602777" y="2707891"/>
          <a:ext cx="1590176" cy="460979"/>
          <a:chOff x="2587146" y="2698773"/>
          <a:chExt cx="1582361" cy="459026"/>
        </a:xfrm>
      </xdr:grpSpPr>
      <xdr:grpSp>
        <xdr:nvGrpSpPr>
          <xdr:cNvPr id="15" name="Group 14">
            <a:extLst>
              <a:ext uri="{FF2B5EF4-FFF2-40B4-BE49-F238E27FC236}">
                <a16:creationId xmlns:a16="http://schemas.microsoft.com/office/drawing/2014/main" id="{7EF314F9-42A2-4314-BF79-02D344CD80F2}"/>
              </a:ext>
            </a:extLst>
          </xdr:cNvPr>
          <xdr:cNvGrpSpPr/>
        </xdr:nvGrpSpPr>
        <xdr:grpSpPr>
          <a:xfrm>
            <a:off x="2587146" y="2698773"/>
            <a:ext cx="1582361" cy="459026"/>
            <a:chOff x="2556709" y="1315890"/>
            <a:chExt cx="1594187" cy="448742"/>
          </a:xfrm>
        </xdr:grpSpPr>
        <xdr:sp macro="" textlink="">
          <xdr:nvSpPr>
            <xdr:cNvPr id="16" name="Rectangle: Rounded Corners 15">
              <a:extLst>
                <a:ext uri="{FF2B5EF4-FFF2-40B4-BE49-F238E27FC236}">
                  <a16:creationId xmlns:a16="http://schemas.microsoft.com/office/drawing/2014/main" id="{1020DAB8-B8B8-AD5A-CD39-7223101B3323}"/>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17" name="Oval 16">
              <a:extLst>
                <a:ext uri="{FF2B5EF4-FFF2-40B4-BE49-F238E27FC236}">
                  <a16:creationId xmlns:a16="http://schemas.microsoft.com/office/drawing/2014/main" id="{19E1141B-05FD-9523-B406-1625BCC72BA1}"/>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18" name="TextBox 50">
              <a:extLst>
                <a:ext uri="{FF2B5EF4-FFF2-40B4-BE49-F238E27FC236}">
                  <a16:creationId xmlns:a16="http://schemas.microsoft.com/office/drawing/2014/main" id="{745AE211-775B-D82A-5283-C1F9A562CF89}"/>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In Analysis</a:t>
              </a:r>
            </a:p>
          </xdr:txBody>
        </xdr:sp>
      </xdr:grpSp>
      <xdr:pic>
        <xdr:nvPicPr>
          <xdr:cNvPr id="38" name="Picture 37">
            <a:hlinkClick xmlns:r="http://schemas.openxmlformats.org/officeDocument/2006/relationships" r:id="rId7"/>
            <a:extLst>
              <a:ext uri="{FF2B5EF4-FFF2-40B4-BE49-F238E27FC236}">
                <a16:creationId xmlns:a16="http://schemas.microsoft.com/office/drawing/2014/main" id="{5C1B4A72-E256-4FAD-A764-748411241685}"/>
              </a:ext>
            </a:extLst>
          </xdr:cNvPr>
          <xdr:cNvPicPr>
            <a:picLocks noChangeAspect="1"/>
          </xdr:cNvPicPr>
        </xdr:nvPicPr>
        <xdr:blipFill>
          <a:blip xmlns:r="http://schemas.openxmlformats.org/officeDocument/2006/relationships" r:embed="rId8" cstate="print">
            <a:duotone>
              <a:prstClr val="black"/>
              <a:srgbClr val="134E4C">
                <a:tint val="45000"/>
                <a:satMod val="400000"/>
              </a:srgbClr>
            </a:duotone>
            <a:extLst>
              <a:ext uri="{28A0092B-C50C-407E-A947-70E740481C1C}">
                <a14:useLocalDpi xmlns:a14="http://schemas.microsoft.com/office/drawing/2010/main" val="0"/>
              </a:ext>
            </a:extLst>
          </a:blip>
          <a:stretch>
            <a:fillRect/>
          </a:stretch>
        </xdr:blipFill>
        <xdr:spPr>
          <a:xfrm>
            <a:off x="2693463" y="2810694"/>
            <a:ext cx="228600" cy="228600"/>
          </a:xfrm>
          <a:prstGeom prst="rect">
            <a:avLst/>
          </a:prstGeom>
        </xdr:spPr>
      </xdr:pic>
    </xdr:grpSp>
    <xdr:clientData/>
  </xdr:twoCellAnchor>
  <xdr:twoCellAnchor>
    <xdr:from>
      <xdr:col>4</xdr:col>
      <xdr:colOff>164377</xdr:colOff>
      <xdr:row>7</xdr:row>
      <xdr:rowOff>111188</xdr:rowOff>
    </xdr:from>
    <xdr:to>
      <xdr:col>6</xdr:col>
      <xdr:colOff>535353</xdr:colOff>
      <xdr:row>10</xdr:row>
      <xdr:rowOff>13367</xdr:rowOff>
    </xdr:to>
    <xdr:grpSp>
      <xdr:nvGrpSpPr>
        <xdr:cNvPr id="47" name="Group 46">
          <a:extLst>
            <a:ext uri="{FF2B5EF4-FFF2-40B4-BE49-F238E27FC236}">
              <a16:creationId xmlns:a16="http://schemas.microsoft.com/office/drawing/2014/main" id="{793B053A-FD8A-87C8-45DF-A11AF511B9C4}"/>
            </a:ext>
          </a:extLst>
        </xdr:cNvPr>
        <xdr:cNvGrpSpPr/>
      </xdr:nvGrpSpPr>
      <xdr:grpSpPr>
        <a:xfrm>
          <a:off x="2602777" y="1415055"/>
          <a:ext cx="1590176" cy="460979"/>
          <a:chOff x="2587146" y="1410496"/>
          <a:chExt cx="1582361" cy="459025"/>
        </a:xfrm>
      </xdr:grpSpPr>
      <xdr:grpSp>
        <xdr:nvGrpSpPr>
          <xdr:cNvPr id="7" name="Group 6">
            <a:extLst>
              <a:ext uri="{FF2B5EF4-FFF2-40B4-BE49-F238E27FC236}">
                <a16:creationId xmlns:a16="http://schemas.microsoft.com/office/drawing/2014/main" id="{CE2454FC-CF72-471D-8764-2E57C6F4D88E}"/>
              </a:ext>
            </a:extLst>
          </xdr:cNvPr>
          <xdr:cNvGrpSpPr/>
        </xdr:nvGrpSpPr>
        <xdr:grpSpPr>
          <a:xfrm>
            <a:off x="2587146" y="1410496"/>
            <a:ext cx="1582361" cy="459025"/>
            <a:chOff x="2556709" y="1315890"/>
            <a:chExt cx="1594187" cy="448742"/>
          </a:xfrm>
        </xdr:grpSpPr>
        <xdr:sp macro="" textlink="">
          <xdr:nvSpPr>
            <xdr:cNvPr id="8" name="Rectangle: Rounded Corners 7">
              <a:extLst>
                <a:ext uri="{FF2B5EF4-FFF2-40B4-BE49-F238E27FC236}">
                  <a16:creationId xmlns:a16="http://schemas.microsoft.com/office/drawing/2014/main" id="{A2204E62-4BC0-049F-68B5-8AC38052139A}"/>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9" name="Oval 8">
              <a:extLst>
                <a:ext uri="{FF2B5EF4-FFF2-40B4-BE49-F238E27FC236}">
                  <a16:creationId xmlns:a16="http://schemas.microsoft.com/office/drawing/2014/main" id="{F3149459-8CBF-3F53-951B-C31F7506A42D}"/>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10" name="TextBox 50">
              <a:extLst>
                <a:ext uri="{FF2B5EF4-FFF2-40B4-BE49-F238E27FC236}">
                  <a16:creationId xmlns:a16="http://schemas.microsoft.com/office/drawing/2014/main" id="{17ADF396-1B69-D7CD-C07A-A3DD82F69C56}"/>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Dataset</a:t>
              </a:r>
            </a:p>
          </xdr:txBody>
        </xdr:sp>
      </xdr:grpSp>
      <xdr:pic>
        <xdr:nvPicPr>
          <xdr:cNvPr id="39" name="Picture 38">
            <a:extLst>
              <a:ext uri="{FF2B5EF4-FFF2-40B4-BE49-F238E27FC236}">
                <a16:creationId xmlns:a16="http://schemas.microsoft.com/office/drawing/2014/main" id="{891147D7-586C-4F0B-A315-5B6A6F5959A5}"/>
              </a:ext>
            </a:extLst>
          </xdr:cNvPr>
          <xdr:cNvPicPr>
            <a:picLocks noChangeAspect="1"/>
          </xdr:cNvPicPr>
        </xdr:nvPicPr>
        <xdr:blipFill>
          <a:blip xmlns:r="http://schemas.openxmlformats.org/officeDocument/2006/relationships" r:embed="rId9" cstate="print">
            <a:duotone>
              <a:schemeClr val="bg2">
                <a:shade val="45000"/>
                <a:satMod val="135000"/>
              </a:schemeClr>
              <a:prstClr val="white"/>
            </a:duotone>
            <a:alphaModFix/>
            <a:extLst>
              <a:ext uri="{BEBA8EAE-BF5A-486C-A8C5-ECC9F3942E4B}">
                <a14:imgProps xmlns:a14="http://schemas.microsoft.com/office/drawing/2010/main">
                  <a14:imgLayer r:embed="rId10">
                    <a14:imgEffect>
                      <a14:artisticCrisscrossEtching/>
                    </a14:imgEffect>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2715846" y="1514230"/>
            <a:ext cx="199392" cy="228600"/>
          </a:xfrm>
          <a:prstGeom prst="rect">
            <a:avLst/>
          </a:prstGeom>
        </xdr:spPr>
      </xdr:pic>
    </xdr:grpSp>
    <xdr:clientData/>
  </xdr:twoCellAnchor>
  <xdr:twoCellAnchor>
    <xdr:from>
      <xdr:col>4</xdr:col>
      <xdr:colOff>164377</xdr:colOff>
      <xdr:row>21</xdr:row>
      <xdr:rowOff>89130</xdr:rowOff>
    </xdr:from>
    <xdr:to>
      <xdr:col>6</xdr:col>
      <xdr:colOff>535353</xdr:colOff>
      <xdr:row>23</xdr:row>
      <xdr:rowOff>176924</xdr:rowOff>
    </xdr:to>
    <xdr:grpSp>
      <xdr:nvGrpSpPr>
        <xdr:cNvPr id="44" name="Group 43">
          <a:extLst>
            <a:ext uri="{FF2B5EF4-FFF2-40B4-BE49-F238E27FC236}">
              <a16:creationId xmlns:a16="http://schemas.microsoft.com/office/drawing/2014/main" id="{9023E41D-CF5F-4A1C-3B36-60F13AEEA647}"/>
            </a:ext>
          </a:extLst>
        </xdr:cNvPr>
        <xdr:cNvGrpSpPr/>
      </xdr:nvGrpSpPr>
      <xdr:grpSpPr>
        <a:xfrm>
          <a:off x="2602777" y="4000730"/>
          <a:ext cx="1590176" cy="460327"/>
          <a:chOff x="2587146" y="3987053"/>
          <a:chExt cx="1582361" cy="459025"/>
        </a:xfrm>
      </xdr:grpSpPr>
      <xdr:grpSp>
        <xdr:nvGrpSpPr>
          <xdr:cNvPr id="23" name="Group 22">
            <a:extLst>
              <a:ext uri="{FF2B5EF4-FFF2-40B4-BE49-F238E27FC236}">
                <a16:creationId xmlns:a16="http://schemas.microsoft.com/office/drawing/2014/main" id="{329D14FC-F78E-44E8-9342-FBB1C184B8B9}"/>
              </a:ext>
            </a:extLst>
          </xdr:cNvPr>
          <xdr:cNvGrpSpPr/>
        </xdr:nvGrpSpPr>
        <xdr:grpSpPr>
          <a:xfrm>
            <a:off x="2587146" y="3987053"/>
            <a:ext cx="1582361" cy="459025"/>
            <a:chOff x="2556709" y="1315890"/>
            <a:chExt cx="1594187" cy="448742"/>
          </a:xfrm>
        </xdr:grpSpPr>
        <xdr:sp macro="" textlink="">
          <xdr:nvSpPr>
            <xdr:cNvPr id="24" name="Rectangle: Rounded Corners 23">
              <a:extLst>
                <a:ext uri="{FF2B5EF4-FFF2-40B4-BE49-F238E27FC236}">
                  <a16:creationId xmlns:a16="http://schemas.microsoft.com/office/drawing/2014/main" id="{53460595-AF54-2966-AD0F-1EF085BF0CA1}"/>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5" name="Oval 24">
              <a:extLst>
                <a:ext uri="{FF2B5EF4-FFF2-40B4-BE49-F238E27FC236}">
                  <a16:creationId xmlns:a16="http://schemas.microsoft.com/office/drawing/2014/main" id="{EF71D0D9-5A61-6B63-21C2-D63BF091333B}"/>
                </a:ext>
              </a:extLst>
            </xdr:cNvPr>
            <xdr:cNvSpPr/>
          </xdr:nvSpPr>
          <xdr:spPr>
            <a:xfrm>
              <a:off x="2609569" y="1355210"/>
              <a:ext cx="366948" cy="355386"/>
            </a:xfrm>
            <a:prstGeom prst="ellipse">
              <a:avLst/>
            </a:prstGeom>
            <a:solidFill>
              <a:schemeClr val="bg1"/>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6" name="TextBox 50">
              <a:extLst>
                <a:ext uri="{FF2B5EF4-FFF2-40B4-BE49-F238E27FC236}">
                  <a16:creationId xmlns:a16="http://schemas.microsoft.com/office/drawing/2014/main" id="{48C71B06-A0A1-890F-7072-B77B5D049D8C}"/>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Post  Analysis</a:t>
              </a:r>
            </a:p>
          </xdr:txBody>
        </xdr:sp>
      </xdr:grpSp>
      <xdr:pic>
        <xdr:nvPicPr>
          <xdr:cNvPr id="42" name="Picture 41">
            <a:hlinkClick xmlns:r="http://schemas.openxmlformats.org/officeDocument/2006/relationships" r:id="rId11"/>
            <a:extLst>
              <a:ext uri="{FF2B5EF4-FFF2-40B4-BE49-F238E27FC236}">
                <a16:creationId xmlns:a16="http://schemas.microsoft.com/office/drawing/2014/main" id="{0047A6F5-3302-4D06-9185-26E414565241}"/>
              </a:ext>
            </a:extLst>
          </xdr:cNvPr>
          <xdr:cNvPicPr>
            <a:picLocks noChangeAspect="1"/>
          </xdr:cNvPicPr>
        </xdr:nvPicPr>
        <xdr:blipFill>
          <a:blip xmlns:r="http://schemas.openxmlformats.org/officeDocument/2006/relationships" r:embed="rId12" cstate="print">
            <a:duotone>
              <a:schemeClr val="bg2">
                <a:shade val="45000"/>
                <a:satMod val="135000"/>
              </a:schemeClr>
              <a:prstClr val="white"/>
            </a:duotone>
            <a:alphaModFix/>
            <a:extLst>
              <a:ext uri="{BEBA8EAE-BF5A-486C-A8C5-ECC9F3942E4B}">
                <a14:imgProps xmlns:a14="http://schemas.microsoft.com/office/drawing/2010/main">
                  <a14:imgLayer r:embed="rId13">
                    <a14:imgEffect>
                      <a14:sharpenSoften amount="50000"/>
                    </a14:imgEffect>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2707920" y="4085385"/>
            <a:ext cx="228600" cy="228600"/>
          </a:xfrm>
          <a:prstGeom prst="rect">
            <a:avLst/>
          </a:prstGeom>
        </xdr:spPr>
      </xdr:pic>
    </xdr:grpSp>
    <xdr:clientData/>
  </xdr:twoCellAnchor>
  <xdr:twoCellAnchor editAs="oneCell">
    <xdr:from>
      <xdr:col>4</xdr:col>
      <xdr:colOff>164377</xdr:colOff>
      <xdr:row>1</xdr:row>
      <xdr:rowOff>11336</xdr:rowOff>
    </xdr:from>
    <xdr:to>
      <xdr:col>6</xdr:col>
      <xdr:colOff>490948</xdr:colOff>
      <xdr:row>6</xdr:row>
      <xdr:rowOff>111761</xdr:rowOff>
    </xdr:to>
    <xdr:pic>
      <xdr:nvPicPr>
        <xdr:cNvPr id="33" name="Picture 32">
          <a:extLst>
            <a:ext uri="{FF2B5EF4-FFF2-40B4-BE49-F238E27FC236}">
              <a16:creationId xmlns:a16="http://schemas.microsoft.com/office/drawing/2014/main" id="{7069CCA2-193B-44DF-A5C7-DE87833DFA3B}"/>
            </a:ext>
          </a:extLst>
        </xdr:cNvPr>
        <xdr:cNvPicPr>
          <a:picLocks noChangeAspect="1"/>
        </xdr:cNvPicPr>
      </xdr:nvPicPr>
      <xdr:blipFill>
        <a:blip xmlns:r="http://schemas.openxmlformats.org/officeDocument/2006/relationships" r:embed="rId14" cstate="print">
          <a:duotone>
            <a:prstClr val="black"/>
            <a:srgbClr val="02403D">
              <a:tint val="45000"/>
              <a:satMod val="400000"/>
            </a:srgbClr>
          </a:duotone>
          <a:extLst>
            <a:ext uri="{28A0092B-C50C-407E-A947-70E740481C1C}">
              <a14:useLocalDpi xmlns:a14="http://schemas.microsoft.com/office/drawing/2010/main" val="0"/>
            </a:ext>
          </a:extLst>
        </a:blip>
        <a:stretch>
          <a:fillRect/>
        </a:stretch>
      </xdr:blipFill>
      <xdr:spPr>
        <a:xfrm>
          <a:off x="2602777" y="196393"/>
          <a:ext cx="1545771" cy="1025711"/>
        </a:xfrm>
        <a:prstGeom prst="rect">
          <a:avLst/>
        </a:prstGeom>
      </xdr:spPr>
    </xdr:pic>
    <xdr:clientData/>
  </xdr:twoCellAnchor>
  <xdr:twoCellAnchor>
    <xdr:from>
      <xdr:col>21</xdr:col>
      <xdr:colOff>185057</xdr:colOff>
      <xdr:row>2</xdr:row>
      <xdr:rowOff>89417</xdr:rowOff>
    </xdr:from>
    <xdr:to>
      <xdr:col>23</xdr:col>
      <xdr:colOff>241436</xdr:colOff>
      <xdr:row>4</xdr:row>
      <xdr:rowOff>176652</xdr:rowOff>
    </xdr:to>
    <xdr:grpSp>
      <xdr:nvGrpSpPr>
        <xdr:cNvPr id="55" name="Group 54">
          <a:extLst>
            <a:ext uri="{FF2B5EF4-FFF2-40B4-BE49-F238E27FC236}">
              <a16:creationId xmlns:a16="http://schemas.microsoft.com/office/drawing/2014/main" id="{F8128A6A-6FF1-2C0A-936C-335042A643D5}"/>
            </a:ext>
          </a:extLst>
        </xdr:cNvPr>
        <xdr:cNvGrpSpPr/>
      </xdr:nvGrpSpPr>
      <xdr:grpSpPr>
        <a:xfrm>
          <a:off x="12986657" y="461950"/>
          <a:ext cx="1275579" cy="459769"/>
          <a:chOff x="12986657" y="453211"/>
          <a:chExt cx="1275579" cy="451028"/>
        </a:xfrm>
      </xdr:grpSpPr>
      <xdr:sp macro="" textlink="">
        <xdr:nvSpPr>
          <xdr:cNvPr id="48" name="Rectangle: Rounded Corners 47">
            <a:extLst>
              <a:ext uri="{FF2B5EF4-FFF2-40B4-BE49-F238E27FC236}">
                <a16:creationId xmlns:a16="http://schemas.microsoft.com/office/drawing/2014/main" id="{AC913B31-FA86-D16D-86EE-DBF4BDB2381D}"/>
              </a:ext>
            </a:extLst>
          </xdr:cNvPr>
          <xdr:cNvSpPr/>
        </xdr:nvSpPr>
        <xdr:spPr>
          <a:xfrm>
            <a:off x="13030199" y="453211"/>
            <a:ext cx="1232037" cy="451028"/>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9" name="Oval 48">
            <a:extLst>
              <a:ext uri="{FF2B5EF4-FFF2-40B4-BE49-F238E27FC236}">
                <a16:creationId xmlns:a16="http://schemas.microsoft.com/office/drawing/2014/main" id="{CC067254-ADA3-A043-EB2F-018E20D4BC83}"/>
              </a:ext>
            </a:extLst>
          </xdr:cNvPr>
          <xdr:cNvSpPr/>
        </xdr:nvSpPr>
        <xdr:spPr>
          <a:xfrm>
            <a:off x="13780708" y="493285"/>
            <a:ext cx="366025" cy="355881"/>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50" name="TextBox 50">
            <a:extLst>
              <a:ext uri="{FF2B5EF4-FFF2-40B4-BE49-F238E27FC236}">
                <a16:creationId xmlns:a16="http://schemas.microsoft.com/office/drawing/2014/main" id="{36793E7C-2EEF-F7D9-47D0-4381E79CEC92}"/>
              </a:ext>
            </a:extLst>
          </xdr:cNvPr>
          <xdr:cNvSpPr txBox="1"/>
        </xdr:nvSpPr>
        <xdr:spPr>
          <a:xfrm>
            <a:off x="12986657" y="516193"/>
            <a:ext cx="807494" cy="306295"/>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400" b="1">
                <a:solidFill>
                  <a:schemeClr val="bg1"/>
                </a:solidFill>
                <a:latin typeface="Arial" panose="020B0604020202020204" pitchFamily="34" charset="0"/>
                <a:cs typeface="Arial" panose="020B0604020202020204" pitchFamily="34" charset="0"/>
              </a:rPr>
              <a:t>Next </a:t>
            </a:r>
          </a:p>
        </xdr:txBody>
      </xdr:sp>
      <xdr:pic>
        <xdr:nvPicPr>
          <xdr:cNvPr id="52" name="Picture 51">
            <a:hlinkClick xmlns:r="http://schemas.openxmlformats.org/officeDocument/2006/relationships" r:id="rId15"/>
            <a:extLst>
              <a:ext uri="{FF2B5EF4-FFF2-40B4-BE49-F238E27FC236}">
                <a16:creationId xmlns:a16="http://schemas.microsoft.com/office/drawing/2014/main" id="{70BDE88C-331F-8F8B-7D31-9823B3BCF25A}"/>
              </a:ext>
            </a:extLst>
          </xdr:cNvPr>
          <xdr:cNvPicPr>
            <a:picLocks noChangeAspect="1"/>
          </xdr:cNvPicPr>
        </xdr:nvPicPr>
        <xdr:blipFill>
          <a:blip xmlns:r="http://schemas.openxmlformats.org/officeDocument/2006/relationships" r:embed="rId16" cstate="print">
            <a:duotone>
              <a:schemeClr val="bg2">
                <a:shade val="45000"/>
                <a:satMod val="135000"/>
              </a:schemeClr>
              <a:prstClr val="white"/>
            </a:duotone>
            <a:alphaModFix/>
            <a:extLst>
              <a:ext uri="{BEBA8EAE-BF5A-486C-A8C5-ECC9F3942E4B}">
                <a14:imgProps xmlns:a14="http://schemas.microsoft.com/office/drawing/2010/main">
                  <a14:imgLayer r:embed="rId17">
                    <a14:imgEffect>
                      <a14:artisticGlowEdges/>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rot="10800000">
            <a:off x="13868400" y="556576"/>
            <a:ext cx="228600" cy="225439"/>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110155</xdr:colOff>
      <xdr:row>1</xdr:row>
      <xdr:rowOff>100669</xdr:rowOff>
    </xdr:from>
    <xdr:to>
      <xdr:col>23</xdr:col>
      <xdr:colOff>460675</xdr:colOff>
      <xdr:row>37</xdr:row>
      <xdr:rowOff>63092</xdr:rowOff>
    </xdr:to>
    <xdr:sp macro="" textlink="">
      <xdr:nvSpPr>
        <xdr:cNvPr id="2" name="Rectangle: Rounded Corners 1">
          <a:extLst>
            <a:ext uri="{FF2B5EF4-FFF2-40B4-BE49-F238E27FC236}">
              <a16:creationId xmlns:a16="http://schemas.microsoft.com/office/drawing/2014/main" id="{7BD3A0D9-A831-4CFE-A4CA-018FF7C94221}"/>
            </a:ext>
          </a:extLst>
        </xdr:cNvPr>
        <xdr:cNvSpPr/>
      </xdr:nvSpPr>
      <xdr:spPr>
        <a:xfrm>
          <a:off x="2548555" y="283549"/>
          <a:ext cx="11932920" cy="6546103"/>
        </a:xfrm>
        <a:prstGeom prst="roundRect">
          <a:avLst>
            <a:gd name="adj" fmla="val 4229"/>
          </a:avLst>
        </a:prstGeom>
        <a:solidFill>
          <a:srgbClr val="F0F0F0"/>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4</xdr:col>
      <xdr:colOff>78152</xdr:colOff>
      <xdr:row>1</xdr:row>
      <xdr:rowOff>89715</xdr:rowOff>
    </xdr:from>
    <xdr:to>
      <xdr:col>7</xdr:col>
      <xdr:colOff>20086</xdr:colOff>
      <xdr:row>37</xdr:row>
      <xdr:rowOff>61842</xdr:rowOff>
    </xdr:to>
    <xdr:sp macro="" textlink="">
      <xdr:nvSpPr>
        <xdr:cNvPr id="3" name="Rectangle: Top Corners Rounded 2">
          <a:extLst>
            <a:ext uri="{FF2B5EF4-FFF2-40B4-BE49-F238E27FC236}">
              <a16:creationId xmlns:a16="http://schemas.microsoft.com/office/drawing/2014/main" id="{24C3A39D-D04D-4512-B7A1-4FD09BEA5A6B}"/>
            </a:ext>
          </a:extLst>
        </xdr:cNvPr>
        <xdr:cNvSpPr/>
      </xdr:nvSpPr>
      <xdr:spPr>
        <a:xfrm rot="16200000">
          <a:off x="124015" y="2665132"/>
          <a:ext cx="6555807" cy="1770734"/>
        </a:xfrm>
        <a:prstGeom prst="round2SameRect">
          <a:avLst>
            <a:gd name="adj1" fmla="val 17023"/>
            <a:gd name="adj2" fmla="val 0"/>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clientData/>
  </xdr:twoCellAnchor>
  <xdr:twoCellAnchor>
    <xdr:from>
      <xdr:col>7</xdr:col>
      <xdr:colOff>153671</xdr:colOff>
      <xdr:row>5</xdr:row>
      <xdr:rowOff>66257</xdr:rowOff>
    </xdr:from>
    <xdr:to>
      <xdr:col>23</xdr:col>
      <xdr:colOff>275591</xdr:colOff>
      <xdr:row>5</xdr:row>
      <xdr:rowOff>66257</xdr:rowOff>
    </xdr:to>
    <xdr:cxnSp macro="">
      <xdr:nvCxnSpPr>
        <xdr:cNvPr id="4" name="Straight Connector 3">
          <a:extLst>
            <a:ext uri="{FF2B5EF4-FFF2-40B4-BE49-F238E27FC236}">
              <a16:creationId xmlns:a16="http://schemas.microsoft.com/office/drawing/2014/main" id="{652BBACD-1206-46D8-8D69-A39643CDE859}"/>
            </a:ext>
          </a:extLst>
        </xdr:cNvPr>
        <xdr:cNvCxnSpPr>
          <a:cxnSpLocks/>
        </xdr:cNvCxnSpPr>
      </xdr:nvCxnSpPr>
      <xdr:spPr>
        <a:xfrm>
          <a:off x="4420871" y="980657"/>
          <a:ext cx="9875520" cy="0"/>
        </a:xfrm>
        <a:prstGeom prst="line">
          <a:avLst/>
        </a:prstGeom>
        <a:noFill/>
        <a:ln w="12700" cap="flat" cmpd="sng" algn="ctr">
          <a:solidFill>
            <a:sysClr val="window" lastClr="FFFFFF">
              <a:lumMod val="65000"/>
            </a:sysClr>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144961</xdr:colOff>
      <xdr:row>2</xdr:row>
      <xdr:rowOff>16899</xdr:rowOff>
    </xdr:from>
    <xdr:to>
      <xdr:col>13</xdr:col>
      <xdr:colOff>432771</xdr:colOff>
      <xdr:row>4</xdr:row>
      <xdr:rowOff>13698</xdr:rowOff>
    </xdr:to>
    <xdr:sp macro="" textlink="">
      <xdr:nvSpPr>
        <xdr:cNvPr id="5" name="TextBox 27">
          <a:extLst>
            <a:ext uri="{FF2B5EF4-FFF2-40B4-BE49-F238E27FC236}">
              <a16:creationId xmlns:a16="http://schemas.microsoft.com/office/drawing/2014/main" id="{D37DC72C-E4B2-4E02-BC10-7F16FEB98EEB}"/>
            </a:ext>
          </a:extLst>
        </xdr:cNvPr>
        <xdr:cNvSpPr txBox="1"/>
      </xdr:nvSpPr>
      <xdr:spPr>
        <a:xfrm>
          <a:off x="4412161" y="382659"/>
          <a:ext cx="3945410" cy="362559"/>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b="1">
              <a:solidFill>
                <a:sysClr val="window" lastClr="FFFFFF">
                  <a:lumMod val="50000"/>
                </a:sysClr>
              </a:solidFill>
              <a:latin typeface="Arial" panose="020B0604020202020204" pitchFamily="34" charset="0"/>
              <a:cs typeface="Arial" panose="020B0604020202020204" pitchFamily="34" charset="0"/>
            </a:rPr>
            <a:t>Post Analysis Board (Page 2)</a:t>
          </a:r>
        </a:p>
      </xdr:txBody>
    </xdr:sp>
    <xdr:clientData/>
  </xdr:twoCellAnchor>
  <xdr:twoCellAnchor>
    <xdr:from>
      <xdr:col>7</xdr:col>
      <xdr:colOff>178828</xdr:colOff>
      <xdr:row>3</xdr:row>
      <xdr:rowOff>104476</xdr:rowOff>
    </xdr:from>
    <xdr:to>
      <xdr:col>17</xdr:col>
      <xdr:colOff>5860</xdr:colOff>
      <xdr:row>4</xdr:row>
      <xdr:rowOff>157981</xdr:rowOff>
    </xdr:to>
    <xdr:sp macro="" textlink="">
      <xdr:nvSpPr>
        <xdr:cNvPr id="6" name="TextBox 27">
          <a:extLst>
            <a:ext uri="{FF2B5EF4-FFF2-40B4-BE49-F238E27FC236}">
              <a16:creationId xmlns:a16="http://schemas.microsoft.com/office/drawing/2014/main" id="{27A914D5-A218-4A65-834F-1C77B02393EF}"/>
            </a:ext>
          </a:extLst>
        </xdr:cNvPr>
        <xdr:cNvSpPr txBox="1"/>
      </xdr:nvSpPr>
      <xdr:spPr>
        <a:xfrm>
          <a:off x="4446028" y="653116"/>
          <a:ext cx="5923032" cy="236385"/>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050" i="0">
              <a:solidFill>
                <a:sysClr val="window" lastClr="FFFFFF">
                  <a:lumMod val="50000"/>
                </a:sysClr>
              </a:solidFill>
              <a:latin typeface="Bahnschrift Light SemiCondensed" panose="020B0502040204020203" pitchFamily="34" charset="0"/>
              <a:cs typeface="Arial" panose="020B0604020202020204" pitchFamily="34" charset="0"/>
            </a:rPr>
            <a:t>A</a:t>
          </a:r>
          <a:r>
            <a:rPr lang="en-US" sz="1050" i="0" baseline="0">
              <a:solidFill>
                <a:sysClr val="window" lastClr="FFFFFF">
                  <a:lumMod val="50000"/>
                </a:sysClr>
              </a:solidFill>
              <a:latin typeface="Bahnschrift Light SemiCondensed" panose="020B0502040204020203" pitchFamily="34" charset="0"/>
              <a:cs typeface="Arial" panose="020B0604020202020204" pitchFamily="34" charset="0"/>
            </a:rPr>
            <a:t> snapshot of our customer base, informing personalised engagement strategies.</a:t>
          </a:r>
          <a:endParaRPr lang="en-US" sz="1050" i="0">
            <a:solidFill>
              <a:sysClr val="window" lastClr="FFFFFF">
                <a:lumMod val="50000"/>
              </a:sysClr>
            </a:solidFill>
            <a:latin typeface="Bahnschrift Light SemiCondensed" panose="020B0502040204020203" pitchFamily="34" charset="0"/>
            <a:cs typeface="Arial" panose="020B0604020202020204" pitchFamily="34" charset="0"/>
          </a:endParaRPr>
        </a:p>
      </xdr:txBody>
    </xdr:sp>
    <xdr:clientData/>
  </xdr:twoCellAnchor>
  <xdr:twoCellAnchor>
    <xdr:from>
      <xdr:col>7</xdr:col>
      <xdr:colOff>287569</xdr:colOff>
      <xdr:row>5</xdr:row>
      <xdr:rowOff>173084</xdr:rowOff>
    </xdr:from>
    <xdr:to>
      <xdr:col>13</xdr:col>
      <xdr:colOff>298044</xdr:colOff>
      <xdr:row>7</xdr:row>
      <xdr:rowOff>77549</xdr:rowOff>
    </xdr:to>
    <xdr:sp macro="" textlink="">
      <xdr:nvSpPr>
        <xdr:cNvPr id="7" name="TextBox 52">
          <a:extLst>
            <a:ext uri="{FF2B5EF4-FFF2-40B4-BE49-F238E27FC236}">
              <a16:creationId xmlns:a16="http://schemas.microsoft.com/office/drawing/2014/main" id="{6F2E774A-9CEF-4B90-BA48-1784480850EA}"/>
            </a:ext>
          </a:extLst>
        </xdr:cNvPr>
        <xdr:cNvSpPr txBox="1"/>
      </xdr:nvSpPr>
      <xdr:spPr>
        <a:xfrm>
          <a:off x="4554769" y="1087484"/>
          <a:ext cx="3668075" cy="270225"/>
        </a:xfrm>
        <a:prstGeom prst="rect">
          <a:avLst/>
        </a:prstGeom>
        <a:noFill/>
      </xdr:spPr>
      <xdr:txBody>
        <a:bodyPr wrap="square" rtlCol="0">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r>
            <a:rPr lang="en-US" sz="1200">
              <a:solidFill>
                <a:sysClr val="window" lastClr="FFFFFF">
                  <a:lumMod val="50000"/>
                </a:sysClr>
              </a:solidFill>
              <a:latin typeface="Arial" panose="020B0604020202020204" pitchFamily="34" charset="0"/>
              <a:cs typeface="Arial" panose="020B0604020202020204" pitchFamily="34" charset="0"/>
            </a:rPr>
            <a:t>Customer Wealth Profile</a:t>
          </a:r>
        </a:p>
      </xdr:txBody>
    </xdr:sp>
    <xdr:clientData/>
  </xdr:twoCellAnchor>
  <xdr:twoCellAnchor>
    <xdr:from>
      <xdr:col>7</xdr:col>
      <xdr:colOff>176555</xdr:colOff>
      <xdr:row>5</xdr:row>
      <xdr:rowOff>103751</xdr:rowOff>
    </xdr:from>
    <xdr:to>
      <xdr:col>15</xdr:col>
      <xdr:colOff>200109</xdr:colOff>
      <xdr:row>36</xdr:row>
      <xdr:rowOff>68383</xdr:rowOff>
    </xdr:to>
    <xdr:sp macro="" textlink="">
      <xdr:nvSpPr>
        <xdr:cNvPr id="8" name="Rectangle: Rounded Corners 7">
          <a:extLst>
            <a:ext uri="{FF2B5EF4-FFF2-40B4-BE49-F238E27FC236}">
              <a16:creationId xmlns:a16="http://schemas.microsoft.com/office/drawing/2014/main" id="{92C5C884-CDF0-4BA6-880D-AF20FF97C1B9}"/>
            </a:ext>
          </a:extLst>
        </xdr:cNvPr>
        <xdr:cNvSpPr/>
      </xdr:nvSpPr>
      <xdr:spPr>
        <a:xfrm>
          <a:off x="4443755" y="1018151"/>
          <a:ext cx="4900354" cy="5633912"/>
        </a:xfrm>
        <a:prstGeom prst="roundRect">
          <a:avLst>
            <a:gd name="adj" fmla="val 2922"/>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marL="0" indent="0" algn="l" defTabSz="914400" rtl="0" eaLnBrk="1" latinLnBrk="0" hangingPunct="1"/>
          <a:endParaRPr lang="en-US" sz="1100"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b="1" kern="1200">
              <a:solidFill>
                <a:srgbClr val="02403D"/>
              </a:solidFill>
              <a:latin typeface="Arial" panose="020B0604020202020204" pitchFamily="34" charset="0"/>
              <a:ea typeface="+mn-ea"/>
              <a:cs typeface="Arial" panose="020B0604020202020204" pitchFamily="34" charset="0"/>
            </a:rPr>
            <a:t>I. Executive &amp; Strategic Recommendations (For CEO / Board)</a:t>
          </a:r>
        </a:p>
        <a:p>
          <a:pPr marL="0" indent="0" algn="l" defTabSz="914400" rtl="0" eaLnBrk="1" latinLnBrk="0" hangingPunct="1"/>
          <a:endParaRPr lang="en-US" sz="1100" b="1"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b="0" kern="1200">
              <a:solidFill>
                <a:srgbClr val="02403D"/>
              </a:solidFill>
              <a:latin typeface="Arial" panose="020B0604020202020204" pitchFamily="34" charset="0"/>
              <a:ea typeface="+mn-ea"/>
              <a:cs typeface="Arial" panose="020B0604020202020204" pitchFamily="34" charset="0"/>
            </a:rPr>
            <a:t>Immediate Growth Audit: Commission a root-cause analysis of the 2025 acquisition slump. Investigate if interest rate changes, digital platform friction, or reduced ad spend caused the drop-off.</a:t>
          </a:r>
        </a:p>
        <a:p>
          <a:pPr marL="0" indent="0" algn="l" defTabSz="914400" rtl="0" eaLnBrk="1" latinLnBrk="0" hangingPunct="1"/>
          <a:endParaRPr lang="en-US" sz="1100" b="0"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b="0" kern="1200">
              <a:solidFill>
                <a:srgbClr val="02403D"/>
              </a:solidFill>
              <a:latin typeface="Arial" panose="020B0604020202020204" pitchFamily="34" charset="0"/>
              <a:ea typeface="+mn-ea"/>
              <a:cs typeface="Arial" panose="020B0604020202020204" pitchFamily="34" charset="0"/>
            </a:rPr>
            <a:t>Shift the primary high-net-worth (HNW) value proposition to cater to professional women, who are currently the most successful segment in the high-income category.</a:t>
          </a:r>
        </a:p>
        <a:p>
          <a:pPr marL="0" indent="0" algn="l" defTabSz="914400" rtl="0" eaLnBrk="1" latinLnBrk="0" hangingPunct="1"/>
          <a:endParaRPr lang="en-US" sz="1100" b="1"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b="1" kern="1200">
              <a:solidFill>
                <a:srgbClr val="02403D"/>
              </a:solidFill>
              <a:latin typeface="Arial" panose="020B0604020202020204" pitchFamily="34" charset="0"/>
              <a:ea typeface="+mn-ea"/>
              <a:cs typeface="Arial" panose="020B0604020202020204" pitchFamily="34" charset="0"/>
            </a:rPr>
            <a:t>II. Marketing &amp; Acquisition Recommendations (For CMO)</a:t>
          </a:r>
        </a:p>
        <a:p>
          <a:pPr marL="0" indent="0" algn="l" defTabSz="914400" rtl="0" eaLnBrk="1" latinLnBrk="0" hangingPunct="1"/>
          <a:endParaRPr lang="en-US" sz="1100" b="1"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b="0" kern="1200">
              <a:solidFill>
                <a:srgbClr val="02403D"/>
              </a:solidFill>
              <a:latin typeface="Arial" panose="020B0604020202020204" pitchFamily="34" charset="0"/>
              <a:ea typeface="+mn-ea"/>
              <a:cs typeface="Arial" panose="020B0604020202020204" pitchFamily="34" charset="0"/>
            </a:rPr>
            <a:t>Create a low-barrier-to-entry product specifically for Gen Z professionals to increase their count from 86 to match the Millennial levels.</a:t>
          </a:r>
        </a:p>
        <a:p>
          <a:pPr marL="0" indent="0" algn="l" defTabSz="914400" rtl="0" eaLnBrk="1" latinLnBrk="0" hangingPunct="1"/>
          <a:endParaRPr lang="en-US" sz="1100" b="0"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b="0" kern="1200">
              <a:solidFill>
                <a:srgbClr val="02403D"/>
              </a:solidFill>
              <a:latin typeface="Arial" panose="020B0604020202020204" pitchFamily="34" charset="0"/>
              <a:ea typeface="+mn-ea"/>
              <a:cs typeface="Arial" panose="020B0604020202020204" pitchFamily="34" charset="0"/>
            </a:rPr>
            <a:t>Focus digital ad spend on Doctors and Teachers, as they represent the highest volume of female clients, and Engineers, who represent the highest volume of male clients.</a:t>
          </a:r>
        </a:p>
        <a:p>
          <a:pPr marL="0" indent="0" algn="l" defTabSz="914400" rtl="0" eaLnBrk="1" latinLnBrk="0" hangingPunct="1"/>
          <a:r>
            <a:rPr lang="en-US" sz="1100" b="1" kern="1200">
              <a:solidFill>
                <a:srgbClr val="02403D"/>
              </a:solidFill>
              <a:latin typeface="Arial" panose="020B0604020202020204" pitchFamily="34" charset="0"/>
              <a:ea typeface="+mn-ea"/>
              <a:cs typeface="Arial" panose="020B0604020202020204" pitchFamily="34" charset="0"/>
            </a:rPr>
            <a:t> </a:t>
          </a:r>
        </a:p>
        <a:p>
          <a:pPr marL="0" indent="0" algn="l" defTabSz="914400" rtl="0" eaLnBrk="1" latinLnBrk="0" hangingPunct="1"/>
          <a:r>
            <a:rPr lang="en-US" sz="1100" b="1" kern="1200">
              <a:solidFill>
                <a:srgbClr val="02403D"/>
              </a:solidFill>
              <a:latin typeface="Arial" panose="020B0604020202020204" pitchFamily="34" charset="0"/>
              <a:ea typeface="+mn-ea"/>
              <a:cs typeface="Arial" panose="020B0604020202020204" pitchFamily="34" charset="0"/>
            </a:rPr>
            <a:t>III. Sales &amp; Relationship Management Recommendations (For Head of Sales)</a:t>
          </a:r>
        </a:p>
        <a:p>
          <a:pPr marL="0" indent="0" algn="l" defTabSz="914400" rtl="0" eaLnBrk="1" latinLnBrk="0" hangingPunct="1"/>
          <a:endParaRPr lang="en-US" sz="1100" b="1"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b="0" kern="1200">
              <a:solidFill>
                <a:srgbClr val="02403D"/>
              </a:solidFill>
              <a:latin typeface="Arial" panose="020B0604020202020204" pitchFamily="34" charset="0"/>
              <a:ea typeface="+mn-ea"/>
              <a:cs typeface="Arial" panose="020B0604020202020204" pitchFamily="34" charset="0"/>
            </a:rPr>
            <a:t>Implement a "First 90 Days" relationship program for the "New" and "Emerging" segments to ensure they don't churn before reaching the 5-year tenure mark.</a:t>
          </a:r>
        </a:p>
        <a:p>
          <a:pPr marL="0" indent="0" algn="l" defTabSz="914400" rtl="0" eaLnBrk="1" latinLnBrk="0" hangingPunct="1"/>
          <a:endParaRPr lang="en-US" sz="1100" b="0"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r>
            <a:rPr lang="en-US" sz="1100" b="0" kern="1200">
              <a:solidFill>
                <a:srgbClr val="02403D"/>
              </a:solidFill>
              <a:latin typeface="Arial" panose="020B0604020202020204" pitchFamily="34" charset="0"/>
              <a:ea typeface="+mn-ea"/>
              <a:cs typeface="Arial" panose="020B0604020202020204" pitchFamily="34" charset="0"/>
            </a:rPr>
            <a:t>Given the high density of Doctor/Teacher professions, implement a peer-to-peer referral program targeting these specific sectors to capitalize on their professional networks.</a:t>
          </a:r>
        </a:p>
        <a:p>
          <a:pPr marL="0" indent="0" algn="l" defTabSz="914400" rtl="0" eaLnBrk="1" latinLnBrk="0" hangingPunct="1"/>
          <a:endParaRPr lang="en-US" sz="1100" b="0" kern="1200">
            <a:solidFill>
              <a:srgbClr val="02403D"/>
            </a:solidFill>
            <a:latin typeface="Arial" panose="020B0604020202020204" pitchFamily="34" charset="0"/>
            <a:ea typeface="+mn-ea"/>
            <a:cs typeface="Arial" panose="020B0604020202020204" pitchFamily="34" charset="0"/>
          </a:endParaRPr>
        </a:p>
        <a:p>
          <a:pPr marL="0" indent="0" algn="l" defTabSz="914400" rtl="0" eaLnBrk="1" latinLnBrk="0" hangingPunct="1"/>
          <a:endParaRPr lang="en-US" sz="1100" kern="1200">
            <a:solidFill>
              <a:srgbClr val="02403D"/>
            </a:solidFill>
            <a:latin typeface="Arial" panose="020B0604020202020204" pitchFamily="34" charset="0"/>
            <a:ea typeface="+mn-ea"/>
            <a:cs typeface="Arial" panose="020B0604020202020204" pitchFamily="34" charset="0"/>
          </a:endParaRPr>
        </a:p>
      </xdr:txBody>
    </xdr:sp>
    <xdr:clientData/>
  </xdr:twoCellAnchor>
  <xdr:twoCellAnchor>
    <xdr:from>
      <xdr:col>15</xdr:col>
      <xdr:colOff>328136</xdr:colOff>
      <xdr:row>5</xdr:row>
      <xdr:rowOff>103751</xdr:rowOff>
    </xdr:from>
    <xdr:to>
      <xdr:col>23</xdr:col>
      <xdr:colOff>351691</xdr:colOff>
      <xdr:row>36</xdr:row>
      <xdr:rowOff>72292</xdr:rowOff>
    </xdr:to>
    <xdr:sp macro="" textlink="">
      <xdr:nvSpPr>
        <xdr:cNvPr id="9" name="Rectangle: Rounded Corners 8">
          <a:extLst>
            <a:ext uri="{FF2B5EF4-FFF2-40B4-BE49-F238E27FC236}">
              <a16:creationId xmlns:a16="http://schemas.microsoft.com/office/drawing/2014/main" id="{32F15754-CDE2-4C82-A7F8-79E3FC87E43D}"/>
            </a:ext>
          </a:extLst>
        </xdr:cNvPr>
        <xdr:cNvSpPr/>
      </xdr:nvSpPr>
      <xdr:spPr>
        <a:xfrm>
          <a:off x="9413521" y="1031828"/>
          <a:ext cx="4869093" cy="5722618"/>
        </a:xfrm>
        <a:prstGeom prst="roundRect">
          <a:avLst>
            <a:gd name="adj" fmla="val 4126"/>
          </a:avLst>
        </a:prstGeom>
        <a:solidFill>
          <a:sysClr val="window" lastClr="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IV. Operations &amp; Risk Recommendations (For COO / CRO)</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With 211 customers in the "Low" wealth profile, automated AI-chatbots and self-service portals should be used to serve this group efficiently, freeing up human advisors for the 153 "High" wealth clients.</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For the 126 Boomers, introduce "Family Office" or "Trust" services to ensure that when assets are passed to the next generation, they stay within your institution</a:t>
          </a: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Conclusive Summary of Dashboard "Success</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rPr>
            <a:t>To be successful in 2026, the primary objective is to convert the "Emerging" high-income females into "Loyal" or "legacy" clients while simultaneously diagnosing and fixing the 2025 acquisition failure.</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1200" cap="none" spc="0" normalizeH="0" baseline="0" noProof="0">
            <a:ln>
              <a:noFill/>
            </a:ln>
            <a:solidFill>
              <a:srgbClr val="02403D"/>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7</xdr:col>
      <xdr:colOff>185616</xdr:colOff>
      <xdr:row>5</xdr:row>
      <xdr:rowOff>46976</xdr:rowOff>
    </xdr:from>
    <xdr:to>
      <xdr:col>15</xdr:col>
      <xdr:colOff>185615</xdr:colOff>
      <xdr:row>7</xdr:row>
      <xdr:rowOff>9773</xdr:rowOff>
    </xdr:to>
    <xdr:sp macro="" textlink="">
      <xdr:nvSpPr>
        <xdr:cNvPr id="10" name="TextBox 51">
          <a:extLst>
            <a:ext uri="{FF2B5EF4-FFF2-40B4-BE49-F238E27FC236}">
              <a16:creationId xmlns:a16="http://schemas.microsoft.com/office/drawing/2014/main" id="{123AE0C1-E042-4E22-8531-53CDA21EE6F8}"/>
            </a:ext>
          </a:extLst>
        </xdr:cNvPr>
        <xdr:cNvSpPr txBox="1"/>
      </xdr:nvSpPr>
      <xdr:spPr>
        <a:xfrm>
          <a:off x="4452816" y="961376"/>
          <a:ext cx="4876799" cy="328557"/>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b="1">
              <a:solidFill>
                <a:srgbClr val="02403D"/>
              </a:solidFill>
              <a:latin typeface="Arial" panose="020B0604020202020204" pitchFamily="34" charset="0"/>
              <a:cs typeface="Arial" panose="020B0604020202020204" pitchFamily="34" charset="0"/>
            </a:rPr>
            <a:t>Recommendation</a:t>
          </a:r>
        </a:p>
      </xdr:txBody>
    </xdr:sp>
    <xdr:clientData/>
  </xdr:twoCellAnchor>
  <xdr:twoCellAnchor>
    <xdr:from>
      <xdr:col>4</xdr:col>
      <xdr:colOff>164377</xdr:colOff>
      <xdr:row>11</xdr:row>
      <xdr:rowOff>10295</xdr:rowOff>
    </xdr:from>
    <xdr:to>
      <xdr:col>6</xdr:col>
      <xdr:colOff>535353</xdr:colOff>
      <xdr:row>13</xdr:row>
      <xdr:rowOff>103231</xdr:rowOff>
    </xdr:to>
    <xdr:grpSp>
      <xdr:nvGrpSpPr>
        <xdr:cNvPr id="12" name="Group 11">
          <a:extLst>
            <a:ext uri="{FF2B5EF4-FFF2-40B4-BE49-F238E27FC236}">
              <a16:creationId xmlns:a16="http://schemas.microsoft.com/office/drawing/2014/main" id="{B585D6AE-F65A-4187-A4A9-96C438FB5591}"/>
            </a:ext>
          </a:extLst>
        </xdr:cNvPr>
        <xdr:cNvGrpSpPr/>
      </xdr:nvGrpSpPr>
      <xdr:grpSpPr>
        <a:xfrm>
          <a:off x="2602777" y="2059228"/>
          <a:ext cx="1590176" cy="465470"/>
          <a:chOff x="2587146" y="2052064"/>
          <a:chExt cx="1582361" cy="464167"/>
        </a:xfrm>
      </xdr:grpSpPr>
      <xdr:grpSp>
        <xdr:nvGrpSpPr>
          <xdr:cNvPr id="13" name="Group 12">
            <a:extLst>
              <a:ext uri="{FF2B5EF4-FFF2-40B4-BE49-F238E27FC236}">
                <a16:creationId xmlns:a16="http://schemas.microsoft.com/office/drawing/2014/main" id="{1EB46836-3BCF-5104-04E8-10651B7BE3C3}"/>
              </a:ext>
            </a:extLst>
          </xdr:cNvPr>
          <xdr:cNvGrpSpPr/>
        </xdr:nvGrpSpPr>
        <xdr:grpSpPr>
          <a:xfrm>
            <a:off x="2587146" y="2052064"/>
            <a:ext cx="1582361" cy="464167"/>
            <a:chOff x="2556709" y="1315890"/>
            <a:chExt cx="1594187" cy="448742"/>
          </a:xfrm>
        </xdr:grpSpPr>
        <xdr:sp macro="" textlink="">
          <xdr:nvSpPr>
            <xdr:cNvPr id="15" name="Rectangle: Rounded Corners 14">
              <a:extLst>
                <a:ext uri="{FF2B5EF4-FFF2-40B4-BE49-F238E27FC236}">
                  <a16:creationId xmlns:a16="http://schemas.microsoft.com/office/drawing/2014/main" id="{C5A8DFA5-27A0-599F-4E2D-C2840A62046A}"/>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16" name="Oval 15">
              <a:extLst>
                <a:ext uri="{FF2B5EF4-FFF2-40B4-BE49-F238E27FC236}">
                  <a16:creationId xmlns:a16="http://schemas.microsoft.com/office/drawing/2014/main" id="{9A2C3B09-58A4-6E9C-5F12-1DC837427C35}"/>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17" name="TextBox 50">
              <a:extLst>
                <a:ext uri="{FF2B5EF4-FFF2-40B4-BE49-F238E27FC236}">
                  <a16:creationId xmlns:a16="http://schemas.microsoft.com/office/drawing/2014/main" id="{55CF0D01-D3B8-ACA4-26CD-3448A4DB1E55}"/>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Pre Analysis</a:t>
              </a:r>
            </a:p>
          </xdr:txBody>
        </xdr:sp>
      </xdr:grpSp>
      <xdr:pic>
        <xdr:nvPicPr>
          <xdr:cNvPr id="14" name="Picture 13">
            <a:hlinkClick xmlns:r="http://schemas.openxmlformats.org/officeDocument/2006/relationships" r:id="rId1"/>
            <a:extLst>
              <a:ext uri="{FF2B5EF4-FFF2-40B4-BE49-F238E27FC236}">
                <a16:creationId xmlns:a16="http://schemas.microsoft.com/office/drawing/2014/main" id="{5EEDA988-82CB-6FAD-24C5-1352351FD9EB}"/>
              </a:ext>
            </a:extLst>
          </xdr:cNvPr>
          <xdr:cNvPicPr>
            <a:picLocks noChangeAspect="1"/>
          </xdr:cNvPicPr>
        </xdr:nvPicPr>
        <xdr:blipFill>
          <a:blip xmlns:r="http://schemas.openxmlformats.org/officeDocument/2006/relationships" r:embed="rId2" cstate="print">
            <a:duotone>
              <a:prstClr val="black"/>
              <a:schemeClr val="tx2">
                <a:tint val="45000"/>
                <a:satMod val="400000"/>
              </a:schemeClr>
            </a:duotone>
            <a:extLst>
              <a:ext uri="{BEBA8EAE-BF5A-486C-A8C5-ECC9F3942E4B}">
                <a14:imgProps xmlns:a14="http://schemas.microsoft.com/office/drawing/2010/main">
                  <a14:imgLayer r:embed="rId3">
                    <a14:imgEffect>
                      <a14:sharpenSoften amount="50000"/>
                    </a14:imgEffect>
                  </a14:imgLayer>
                </a14:imgProps>
              </a:ext>
              <a:ext uri="{28A0092B-C50C-407E-A947-70E740481C1C}">
                <a14:useLocalDpi xmlns:a14="http://schemas.microsoft.com/office/drawing/2010/main" val="0"/>
              </a:ext>
            </a:extLst>
          </a:blip>
          <a:stretch>
            <a:fillRect/>
          </a:stretch>
        </xdr:blipFill>
        <xdr:spPr>
          <a:xfrm>
            <a:off x="2706077" y="2159001"/>
            <a:ext cx="228600" cy="228600"/>
          </a:xfrm>
          <a:prstGeom prst="rect">
            <a:avLst/>
          </a:prstGeom>
        </xdr:spPr>
      </xdr:pic>
    </xdr:grpSp>
    <xdr:clientData/>
  </xdr:twoCellAnchor>
  <xdr:twoCellAnchor>
    <xdr:from>
      <xdr:col>4</xdr:col>
      <xdr:colOff>164377</xdr:colOff>
      <xdr:row>18</xdr:row>
      <xdr:rowOff>2000</xdr:rowOff>
    </xdr:from>
    <xdr:to>
      <xdr:col>6</xdr:col>
      <xdr:colOff>535353</xdr:colOff>
      <xdr:row>20</xdr:row>
      <xdr:rowOff>92201</xdr:rowOff>
    </xdr:to>
    <xdr:grpSp>
      <xdr:nvGrpSpPr>
        <xdr:cNvPr id="18" name="Group 17">
          <a:extLst>
            <a:ext uri="{FF2B5EF4-FFF2-40B4-BE49-F238E27FC236}">
              <a16:creationId xmlns:a16="http://schemas.microsoft.com/office/drawing/2014/main" id="{E064AF87-3459-4FC8-B27F-E21F3B1D0980}"/>
            </a:ext>
          </a:extLst>
        </xdr:cNvPr>
        <xdr:cNvGrpSpPr/>
      </xdr:nvGrpSpPr>
      <xdr:grpSpPr>
        <a:xfrm>
          <a:off x="2602777" y="3354800"/>
          <a:ext cx="1590176" cy="462734"/>
          <a:chOff x="2587146" y="3343077"/>
          <a:chExt cx="1582361" cy="461432"/>
        </a:xfrm>
      </xdr:grpSpPr>
      <xdr:grpSp>
        <xdr:nvGrpSpPr>
          <xdr:cNvPr id="19" name="Group 18">
            <a:extLst>
              <a:ext uri="{FF2B5EF4-FFF2-40B4-BE49-F238E27FC236}">
                <a16:creationId xmlns:a16="http://schemas.microsoft.com/office/drawing/2014/main" id="{6FD08142-209C-8907-8417-0AC299980032}"/>
              </a:ext>
            </a:extLst>
          </xdr:cNvPr>
          <xdr:cNvGrpSpPr/>
        </xdr:nvGrpSpPr>
        <xdr:grpSpPr>
          <a:xfrm>
            <a:off x="2587146" y="3343077"/>
            <a:ext cx="1582361" cy="461432"/>
            <a:chOff x="2556709" y="1315890"/>
            <a:chExt cx="1594187" cy="448742"/>
          </a:xfrm>
        </xdr:grpSpPr>
        <xdr:sp macro="" textlink="">
          <xdr:nvSpPr>
            <xdr:cNvPr id="21" name="Rectangle: Rounded Corners 20">
              <a:extLst>
                <a:ext uri="{FF2B5EF4-FFF2-40B4-BE49-F238E27FC236}">
                  <a16:creationId xmlns:a16="http://schemas.microsoft.com/office/drawing/2014/main" id="{9CEE5F76-8ED3-5BA3-4273-7E466DABB3E7}"/>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2" name="Oval 21">
              <a:extLst>
                <a:ext uri="{FF2B5EF4-FFF2-40B4-BE49-F238E27FC236}">
                  <a16:creationId xmlns:a16="http://schemas.microsoft.com/office/drawing/2014/main" id="{71D3479C-53F5-A533-2A94-3C4CAD150085}"/>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3" name="TextBox 50">
              <a:extLst>
                <a:ext uri="{FF2B5EF4-FFF2-40B4-BE49-F238E27FC236}">
                  <a16:creationId xmlns:a16="http://schemas.microsoft.com/office/drawing/2014/main" id="{DE9B7F80-4235-592F-7449-DE5123329CC0}"/>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Dashboard</a:t>
              </a:r>
            </a:p>
          </xdr:txBody>
        </xdr:sp>
      </xdr:grpSp>
      <xdr:pic>
        <xdr:nvPicPr>
          <xdr:cNvPr id="20" name="Picture 19">
            <a:hlinkClick xmlns:r="http://schemas.openxmlformats.org/officeDocument/2006/relationships" r:id="rId4"/>
            <a:extLst>
              <a:ext uri="{FF2B5EF4-FFF2-40B4-BE49-F238E27FC236}">
                <a16:creationId xmlns:a16="http://schemas.microsoft.com/office/drawing/2014/main" id="{7A211B93-70FD-8A3C-0EF3-FB95DF767A76}"/>
              </a:ext>
            </a:extLst>
          </xdr:cNvPr>
          <xdr:cNvPicPr>
            <a:picLocks noChangeAspect="1"/>
          </xdr:cNvPicPr>
        </xdr:nvPicPr>
        <xdr:blipFill>
          <a:blip xmlns:r="http://schemas.openxmlformats.org/officeDocument/2006/relationships" r:embed="rId5" cstate="print">
            <a:duotone>
              <a:prstClr val="black"/>
              <a:srgbClr val="134E4C">
                <a:tint val="45000"/>
                <a:satMod val="400000"/>
              </a:srgbClr>
            </a:duotone>
            <a:extLst>
              <a:ext uri="{BEBA8EAE-BF5A-486C-A8C5-ECC9F3942E4B}">
                <a14:imgProps xmlns:a14="http://schemas.microsoft.com/office/drawing/2010/main">
                  <a14:imgLayer r:embed="rId6">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2690000" y="3452001"/>
            <a:ext cx="228600" cy="228600"/>
          </a:xfrm>
          <a:prstGeom prst="rect">
            <a:avLst/>
          </a:prstGeom>
        </xdr:spPr>
      </xdr:pic>
    </xdr:grpSp>
    <xdr:clientData/>
  </xdr:twoCellAnchor>
  <xdr:twoCellAnchor>
    <xdr:from>
      <xdr:col>4</xdr:col>
      <xdr:colOff>164377</xdr:colOff>
      <xdr:row>14</xdr:row>
      <xdr:rowOff>100158</xdr:rowOff>
    </xdr:from>
    <xdr:to>
      <xdr:col>6</xdr:col>
      <xdr:colOff>535353</xdr:colOff>
      <xdr:row>17</xdr:row>
      <xdr:rowOff>2337</xdr:rowOff>
    </xdr:to>
    <xdr:grpSp>
      <xdr:nvGrpSpPr>
        <xdr:cNvPr id="24" name="Group 23">
          <a:extLst>
            <a:ext uri="{FF2B5EF4-FFF2-40B4-BE49-F238E27FC236}">
              <a16:creationId xmlns:a16="http://schemas.microsoft.com/office/drawing/2014/main" id="{3B9E2E9F-B3C0-499A-818D-A3E57A9D0ECD}"/>
            </a:ext>
          </a:extLst>
        </xdr:cNvPr>
        <xdr:cNvGrpSpPr/>
      </xdr:nvGrpSpPr>
      <xdr:grpSpPr>
        <a:xfrm>
          <a:off x="2602777" y="2707891"/>
          <a:ext cx="1590176" cy="460979"/>
          <a:chOff x="2587146" y="2698773"/>
          <a:chExt cx="1582361" cy="459026"/>
        </a:xfrm>
      </xdr:grpSpPr>
      <xdr:grpSp>
        <xdr:nvGrpSpPr>
          <xdr:cNvPr id="25" name="Group 24">
            <a:extLst>
              <a:ext uri="{FF2B5EF4-FFF2-40B4-BE49-F238E27FC236}">
                <a16:creationId xmlns:a16="http://schemas.microsoft.com/office/drawing/2014/main" id="{0026912C-F23B-AD43-F419-B7719C491EC2}"/>
              </a:ext>
            </a:extLst>
          </xdr:cNvPr>
          <xdr:cNvGrpSpPr/>
        </xdr:nvGrpSpPr>
        <xdr:grpSpPr>
          <a:xfrm>
            <a:off x="2587146" y="2698773"/>
            <a:ext cx="1582361" cy="459026"/>
            <a:chOff x="2556709" y="1315890"/>
            <a:chExt cx="1594187" cy="448742"/>
          </a:xfrm>
        </xdr:grpSpPr>
        <xdr:sp macro="" textlink="">
          <xdr:nvSpPr>
            <xdr:cNvPr id="27" name="Rectangle: Rounded Corners 26">
              <a:extLst>
                <a:ext uri="{FF2B5EF4-FFF2-40B4-BE49-F238E27FC236}">
                  <a16:creationId xmlns:a16="http://schemas.microsoft.com/office/drawing/2014/main" id="{28ED5877-7AB4-1DA3-9196-429C82844126}"/>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8" name="Oval 27">
              <a:extLst>
                <a:ext uri="{FF2B5EF4-FFF2-40B4-BE49-F238E27FC236}">
                  <a16:creationId xmlns:a16="http://schemas.microsoft.com/office/drawing/2014/main" id="{A3958BC9-8345-DED2-0237-6BCFF7630B3D}"/>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29" name="TextBox 50">
              <a:extLst>
                <a:ext uri="{FF2B5EF4-FFF2-40B4-BE49-F238E27FC236}">
                  <a16:creationId xmlns:a16="http://schemas.microsoft.com/office/drawing/2014/main" id="{EBD95842-454B-AF1F-641C-82D96F5BF239}"/>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In Analysis</a:t>
              </a:r>
            </a:p>
          </xdr:txBody>
        </xdr:sp>
      </xdr:grpSp>
      <xdr:pic>
        <xdr:nvPicPr>
          <xdr:cNvPr id="26" name="Picture 25">
            <a:hlinkClick xmlns:r="http://schemas.openxmlformats.org/officeDocument/2006/relationships" r:id="rId7"/>
            <a:extLst>
              <a:ext uri="{FF2B5EF4-FFF2-40B4-BE49-F238E27FC236}">
                <a16:creationId xmlns:a16="http://schemas.microsoft.com/office/drawing/2014/main" id="{0F9049C9-C41D-1C2E-6D76-8A1EB5F28193}"/>
              </a:ext>
            </a:extLst>
          </xdr:cNvPr>
          <xdr:cNvPicPr>
            <a:picLocks noChangeAspect="1"/>
          </xdr:cNvPicPr>
        </xdr:nvPicPr>
        <xdr:blipFill>
          <a:blip xmlns:r="http://schemas.openxmlformats.org/officeDocument/2006/relationships" r:embed="rId8" cstate="print">
            <a:duotone>
              <a:prstClr val="black"/>
              <a:srgbClr val="134E4C">
                <a:tint val="45000"/>
                <a:satMod val="400000"/>
              </a:srgbClr>
            </a:duotone>
            <a:extLst>
              <a:ext uri="{28A0092B-C50C-407E-A947-70E740481C1C}">
                <a14:useLocalDpi xmlns:a14="http://schemas.microsoft.com/office/drawing/2010/main" val="0"/>
              </a:ext>
            </a:extLst>
          </a:blip>
          <a:stretch>
            <a:fillRect/>
          </a:stretch>
        </xdr:blipFill>
        <xdr:spPr>
          <a:xfrm>
            <a:off x="2693463" y="2810694"/>
            <a:ext cx="228600" cy="228600"/>
          </a:xfrm>
          <a:prstGeom prst="rect">
            <a:avLst/>
          </a:prstGeom>
        </xdr:spPr>
      </xdr:pic>
    </xdr:grpSp>
    <xdr:clientData/>
  </xdr:twoCellAnchor>
  <xdr:twoCellAnchor>
    <xdr:from>
      <xdr:col>4</xdr:col>
      <xdr:colOff>164377</xdr:colOff>
      <xdr:row>7</xdr:row>
      <xdr:rowOff>111188</xdr:rowOff>
    </xdr:from>
    <xdr:to>
      <xdr:col>6</xdr:col>
      <xdr:colOff>535353</xdr:colOff>
      <xdr:row>10</xdr:row>
      <xdr:rowOff>13367</xdr:rowOff>
    </xdr:to>
    <xdr:grpSp>
      <xdr:nvGrpSpPr>
        <xdr:cNvPr id="30" name="Group 29">
          <a:extLst>
            <a:ext uri="{FF2B5EF4-FFF2-40B4-BE49-F238E27FC236}">
              <a16:creationId xmlns:a16="http://schemas.microsoft.com/office/drawing/2014/main" id="{5A121819-1E31-4DA0-A94C-1D480A2AB2CC}"/>
            </a:ext>
          </a:extLst>
        </xdr:cNvPr>
        <xdr:cNvGrpSpPr/>
      </xdr:nvGrpSpPr>
      <xdr:grpSpPr>
        <a:xfrm>
          <a:off x="2602777" y="1415055"/>
          <a:ext cx="1590176" cy="460979"/>
          <a:chOff x="2587146" y="1410496"/>
          <a:chExt cx="1582361" cy="459025"/>
        </a:xfrm>
      </xdr:grpSpPr>
      <xdr:grpSp>
        <xdr:nvGrpSpPr>
          <xdr:cNvPr id="31" name="Group 30">
            <a:extLst>
              <a:ext uri="{FF2B5EF4-FFF2-40B4-BE49-F238E27FC236}">
                <a16:creationId xmlns:a16="http://schemas.microsoft.com/office/drawing/2014/main" id="{A7D74050-B45E-B471-19E3-915FB6F49516}"/>
              </a:ext>
            </a:extLst>
          </xdr:cNvPr>
          <xdr:cNvGrpSpPr/>
        </xdr:nvGrpSpPr>
        <xdr:grpSpPr>
          <a:xfrm>
            <a:off x="2587146" y="1410496"/>
            <a:ext cx="1582361" cy="459025"/>
            <a:chOff x="2556709" y="1315890"/>
            <a:chExt cx="1594187" cy="448742"/>
          </a:xfrm>
        </xdr:grpSpPr>
        <xdr:sp macro="" textlink="">
          <xdr:nvSpPr>
            <xdr:cNvPr id="33" name="Rectangle: Rounded Corners 32">
              <a:extLst>
                <a:ext uri="{FF2B5EF4-FFF2-40B4-BE49-F238E27FC236}">
                  <a16:creationId xmlns:a16="http://schemas.microsoft.com/office/drawing/2014/main" id="{7D673092-2C58-8BC3-EF48-0C842E900DD0}"/>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34" name="Oval 33">
              <a:extLst>
                <a:ext uri="{FF2B5EF4-FFF2-40B4-BE49-F238E27FC236}">
                  <a16:creationId xmlns:a16="http://schemas.microsoft.com/office/drawing/2014/main" id="{1732C2FA-E37A-2A90-9E94-ABB5750071D4}"/>
                </a:ext>
              </a:extLst>
            </xdr:cNvPr>
            <xdr:cNvSpPr/>
          </xdr:nvSpPr>
          <xdr:spPr>
            <a:xfrm>
              <a:off x="2609569" y="1355210"/>
              <a:ext cx="366948" cy="355386"/>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35" name="TextBox 50">
              <a:extLst>
                <a:ext uri="{FF2B5EF4-FFF2-40B4-BE49-F238E27FC236}">
                  <a16:creationId xmlns:a16="http://schemas.microsoft.com/office/drawing/2014/main" id="{02FF1B97-E71A-C1A5-9DC2-D74A75E7A48A}"/>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Dataset</a:t>
              </a:r>
            </a:p>
          </xdr:txBody>
        </xdr:sp>
      </xdr:grpSp>
      <xdr:pic>
        <xdr:nvPicPr>
          <xdr:cNvPr id="32" name="Picture 31">
            <a:extLst>
              <a:ext uri="{FF2B5EF4-FFF2-40B4-BE49-F238E27FC236}">
                <a16:creationId xmlns:a16="http://schemas.microsoft.com/office/drawing/2014/main" id="{CBA02078-FCBD-9BF4-5447-04FA3001895B}"/>
              </a:ext>
            </a:extLst>
          </xdr:cNvPr>
          <xdr:cNvPicPr>
            <a:picLocks noChangeAspect="1"/>
          </xdr:cNvPicPr>
        </xdr:nvPicPr>
        <xdr:blipFill>
          <a:blip xmlns:r="http://schemas.openxmlformats.org/officeDocument/2006/relationships" r:embed="rId9" cstate="print">
            <a:duotone>
              <a:schemeClr val="bg2">
                <a:shade val="45000"/>
                <a:satMod val="135000"/>
              </a:schemeClr>
              <a:prstClr val="white"/>
            </a:duotone>
            <a:alphaModFix/>
            <a:extLst>
              <a:ext uri="{BEBA8EAE-BF5A-486C-A8C5-ECC9F3942E4B}">
                <a14:imgProps xmlns:a14="http://schemas.microsoft.com/office/drawing/2010/main">
                  <a14:imgLayer r:embed="rId10">
                    <a14:imgEffect>
                      <a14:artisticCrisscrossEtching/>
                    </a14:imgEffect>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2715846" y="1514230"/>
            <a:ext cx="199392" cy="228600"/>
          </a:xfrm>
          <a:prstGeom prst="rect">
            <a:avLst/>
          </a:prstGeom>
        </xdr:spPr>
      </xdr:pic>
    </xdr:grpSp>
    <xdr:clientData/>
  </xdr:twoCellAnchor>
  <xdr:twoCellAnchor>
    <xdr:from>
      <xdr:col>4</xdr:col>
      <xdr:colOff>164377</xdr:colOff>
      <xdr:row>21</xdr:row>
      <xdr:rowOff>89130</xdr:rowOff>
    </xdr:from>
    <xdr:to>
      <xdr:col>6</xdr:col>
      <xdr:colOff>535353</xdr:colOff>
      <xdr:row>23</xdr:row>
      <xdr:rowOff>176924</xdr:rowOff>
    </xdr:to>
    <xdr:grpSp>
      <xdr:nvGrpSpPr>
        <xdr:cNvPr id="37" name="Group 36">
          <a:extLst>
            <a:ext uri="{FF2B5EF4-FFF2-40B4-BE49-F238E27FC236}">
              <a16:creationId xmlns:a16="http://schemas.microsoft.com/office/drawing/2014/main" id="{07A9892B-B67C-4382-BE64-3E6C688AC7F5}"/>
            </a:ext>
          </a:extLst>
        </xdr:cNvPr>
        <xdr:cNvGrpSpPr/>
      </xdr:nvGrpSpPr>
      <xdr:grpSpPr>
        <a:xfrm>
          <a:off x="2602777" y="4000730"/>
          <a:ext cx="1590176" cy="460327"/>
          <a:chOff x="2587146" y="3987053"/>
          <a:chExt cx="1582361" cy="459025"/>
        </a:xfrm>
      </xdr:grpSpPr>
      <xdr:grpSp>
        <xdr:nvGrpSpPr>
          <xdr:cNvPr id="38" name="Group 37">
            <a:extLst>
              <a:ext uri="{FF2B5EF4-FFF2-40B4-BE49-F238E27FC236}">
                <a16:creationId xmlns:a16="http://schemas.microsoft.com/office/drawing/2014/main" id="{B7C8A534-B6B1-D18B-5EC6-AB6F7F331B2F}"/>
              </a:ext>
            </a:extLst>
          </xdr:cNvPr>
          <xdr:cNvGrpSpPr/>
        </xdr:nvGrpSpPr>
        <xdr:grpSpPr>
          <a:xfrm>
            <a:off x="2587146" y="3987053"/>
            <a:ext cx="1582361" cy="459025"/>
            <a:chOff x="2556709" y="1315890"/>
            <a:chExt cx="1594187" cy="448742"/>
          </a:xfrm>
        </xdr:grpSpPr>
        <xdr:sp macro="" textlink="">
          <xdr:nvSpPr>
            <xdr:cNvPr id="40" name="Rectangle: Rounded Corners 39">
              <a:extLst>
                <a:ext uri="{FF2B5EF4-FFF2-40B4-BE49-F238E27FC236}">
                  <a16:creationId xmlns:a16="http://schemas.microsoft.com/office/drawing/2014/main" id="{A3142184-D7A6-F7C2-D621-55601D948887}"/>
                </a:ext>
              </a:extLst>
            </xdr:cNvPr>
            <xdr:cNvSpPr/>
          </xdr:nvSpPr>
          <xdr:spPr>
            <a:xfrm>
              <a:off x="2556709" y="1315890"/>
              <a:ext cx="1594185" cy="448742"/>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1" name="Oval 40">
              <a:extLst>
                <a:ext uri="{FF2B5EF4-FFF2-40B4-BE49-F238E27FC236}">
                  <a16:creationId xmlns:a16="http://schemas.microsoft.com/office/drawing/2014/main" id="{7B7FFD77-F8E3-58DD-8ED3-A8BA6A35B7B4}"/>
                </a:ext>
              </a:extLst>
            </xdr:cNvPr>
            <xdr:cNvSpPr/>
          </xdr:nvSpPr>
          <xdr:spPr>
            <a:xfrm>
              <a:off x="2609569" y="1355210"/>
              <a:ext cx="366948" cy="355386"/>
            </a:xfrm>
            <a:prstGeom prst="ellipse">
              <a:avLst/>
            </a:prstGeom>
            <a:solidFill>
              <a:schemeClr val="bg1"/>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2" name="TextBox 50">
              <a:extLst>
                <a:ext uri="{FF2B5EF4-FFF2-40B4-BE49-F238E27FC236}">
                  <a16:creationId xmlns:a16="http://schemas.microsoft.com/office/drawing/2014/main" id="{4DB1C06B-945C-B12B-CDCD-8EE9BD139134}"/>
                </a:ext>
              </a:extLst>
            </xdr:cNvPr>
            <xdr:cNvSpPr txBox="1"/>
          </xdr:nvSpPr>
          <xdr:spPr>
            <a:xfrm>
              <a:off x="2987842" y="1366847"/>
              <a:ext cx="1163054" cy="317574"/>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200">
                  <a:solidFill>
                    <a:schemeClr val="bg1"/>
                  </a:solidFill>
                  <a:latin typeface="Arial" panose="020B0604020202020204" pitchFamily="34" charset="0"/>
                  <a:cs typeface="Arial" panose="020B0604020202020204" pitchFamily="34" charset="0"/>
                </a:rPr>
                <a:t>Post  Analysis</a:t>
              </a:r>
            </a:p>
          </xdr:txBody>
        </xdr:sp>
      </xdr:grpSp>
      <xdr:pic>
        <xdr:nvPicPr>
          <xdr:cNvPr id="39" name="Picture 38">
            <a:hlinkClick xmlns:r="http://schemas.openxmlformats.org/officeDocument/2006/relationships" r:id="rId11"/>
            <a:extLst>
              <a:ext uri="{FF2B5EF4-FFF2-40B4-BE49-F238E27FC236}">
                <a16:creationId xmlns:a16="http://schemas.microsoft.com/office/drawing/2014/main" id="{D61DB230-BA38-F9A4-DE55-1ECF56C576D6}"/>
              </a:ext>
            </a:extLst>
          </xdr:cNvPr>
          <xdr:cNvPicPr>
            <a:picLocks noChangeAspect="1"/>
          </xdr:cNvPicPr>
        </xdr:nvPicPr>
        <xdr:blipFill>
          <a:blip xmlns:r="http://schemas.openxmlformats.org/officeDocument/2006/relationships" r:embed="rId12" cstate="print">
            <a:duotone>
              <a:schemeClr val="bg2">
                <a:shade val="45000"/>
                <a:satMod val="135000"/>
              </a:schemeClr>
              <a:prstClr val="white"/>
            </a:duotone>
            <a:alphaModFix/>
            <a:extLst>
              <a:ext uri="{BEBA8EAE-BF5A-486C-A8C5-ECC9F3942E4B}">
                <a14:imgProps xmlns:a14="http://schemas.microsoft.com/office/drawing/2010/main">
                  <a14:imgLayer r:embed="rId13">
                    <a14:imgEffect>
                      <a14:sharpenSoften amount="50000"/>
                    </a14:imgEffect>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2707920" y="4085385"/>
            <a:ext cx="228600" cy="228600"/>
          </a:xfrm>
          <a:prstGeom prst="rect">
            <a:avLst/>
          </a:prstGeom>
        </xdr:spPr>
      </xdr:pic>
    </xdr:grpSp>
    <xdr:clientData/>
  </xdr:twoCellAnchor>
  <xdr:twoCellAnchor editAs="oneCell">
    <xdr:from>
      <xdr:col>4</xdr:col>
      <xdr:colOff>164377</xdr:colOff>
      <xdr:row>1</xdr:row>
      <xdr:rowOff>21664</xdr:rowOff>
    </xdr:from>
    <xdr:to>
      <xdr:col>6</xdr:col>
      <xdr:colOff>498763</xdr:colOff>
      <xdr:row>6</xdr:row>
      <xdr:rowOff>119298</xdr:rowOff>
    </xdr:to>
    <xdr:pic>
      <xdr:nvPicPr>
        <xdr:cNvPr id="43" name="Picture 42">
          <a:extLst>
            <a:ext uri="{FF2B5EF4-FFF2-40B4-BE49-F238E27FC236}">
              <a16:creationId xmlns:a16="http://schemas.microsoft.com/office/drawing/2014/main" id="{DA50B7CE-03DC-4740-A09A-D9B75CFACCEF}"/>
            </a:ext>
          </a:extLst>
        </xdr:cNvPr>
        <xdr:cNvPicPr>
          <a:picLocks noChangeAspect="1"/>
        </xdr:cNvPicPr>
      </xdr:nvPicPr>
      <xdr:blipFill>
        <a:blip xmlns:r="http://schemas.openxmlformats.org/officeDocument/2006/relationships" r:embed="rId14" cstate="print">
          <a:duotone>
            <a:prstClr val="black"/>
            <a:srgbClr val="02403D">
              <a:tint val="45000"/>
              <a:satMod val="400000"/>
            </a:srgbClr>
          </a:duotone>
          <a:extLst>
            <a:ext uri="{28A0092B-C50C-407E-A947-70E740481C1C}">
              <a14:useLocalDpi xmlns:a14="http://schemas.microsoft.com/office/drawing/2010/main" val="0"/>
            </a:ext>
          </a:extLst>
        </a:blip>
        <a:stretch>
          <a:fillRect/>
        </a:stretch>
      </xdr:blipFill>
      <xdr:spPr>
        <a:xfrm>
          <a:off x="2602777" y="206721"/>
          <a:ext cx="1553586" cy="1022920"/>
        </a:xfrm>
        <a:prstGeom prst="rect">
          <a:avLst/>
        </a:prstGeom>
      </xdr:spPr>
    </xdr:pic>
    <xdr:clientData/>
  </xdr:twoCellAnchor>
  <xdr:twoCellAnchor>
    <xdr:from>
      <xdr:col>21</xdr:col>
      <xdr:colOff>180306</xdr:colOff>
      <xdr:row>2</xdr:row>
      <xdr:rowOff>60998</xdr:rowOff>
    </xdr:from>
    <xdr:to>
      <xdr:col>23</xdr:col>
      <xdr:colOff>236685</xdr:colOff>
      <xdr:row>4</xdr:row>
      <xdr:rowOff>148233</xdr:rowOff>
    </xdr:to>
    <xdr:grpSp>
      <xdr:nvGrpSpPr>
        <xdr:cNvPr id="44" name="Group 43">
          <a:extLst>
            <a:ext uri="{FF2B5EF4-FFF2-40B4-BE49-F238E27FC236}">
              <a16:creationId xmlns:a16="http://schemas.microsoft.com/office/drawing/2014/main" id="{FF77472F-F1CF-4181-A560-87B4EECD5B67}"/>
            </a:ext>
          </a:extLst>
        </xdr:cNvPr>
        <xdr:cNvGrpSpPr/>
      </xdr:nvGrpSpPr>
      <xdr:grpSpPr>
        <a:xfrm>
          <a:off x="12981906" y="433531"/>
          <a:ext cx="1275579" cy="459769"/>
          <a:chOff x="12986657" y="453211"/>
          <a:chExt cx="1275579" cy="451028"/>
        </a:xfrm>
      </xdr:grpSpPr>
      <xdr:sp macro="" textlink="">
        <xdr:nvSpPr>
          <xdr:cNvPr id="45" name="Rectangle: Rounded Corners 44">
            <a:extLst>
              <a:ext uri="{FF2B5EF4-FFF2-40B4-BE49-F238E27FC236}">
                <a16:creationId xmlns:a16="http://schemas.microsoft.com/office/drawing/2014/main" id="{6E5CFD5D-8331-BD95-4826-354EC39892B9}"/>
              </a:ext>
            </a:extLst>
          </xdr:cNvPr>
          <xdr:cNvSpPr/>
        </xdr:nvSpPr>
        <xdr:spPr>
          <a:xfrm>
            <a:off x="13030199" y="453211"/>
            <a:ext cx="1232037" cy="451028"/>
          </a:xfrm>
          <a:prstGeom prst="roundRect">
            <a:avLst>
              <a:gd name="adj" fmla="val 31391"/>
            </a:avLst>
          </a:prstGeom>
          <a:solidFill>
            <a:srgbClr val="134E4C"/>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6" name="Oval 45">
            <a:extLst>
              <a:ext uri="{FF2B5EF4-FFF2-40B4-BE49-F238E27FC236}">
                <a16:creationId xmlns:a16="http://schemas.microsoft.com/office/drawing/2014/main" id="{84B7B203-8BF3-CC2B-FD76-B066E3F0988D}"/>
              </a:ext>
            </a:extLst>
          </xdr:cNvPr>
          <xdr:cNvSpPr/>
        </xdr:nvSpPr>
        <xdr:spPr>
          <a:xfrm>
            <a:off x="13780708" y="493285"/>
            <a:ext cx="366025" cy="355881"/>
          </a:xfrm>
          <a:prstGeom prst="ellipse">
            <a:avLst/>
          </a:prstGeom>
          <a:solidFill>
            <a:schemeClr val="bg1">
              <a:lumMod val="85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ysClr val="window" lastClr="FFFFFF"/>
                </a:solidFill>
                <a:latin typeface="Aptos" panose="02110004020202020204"/>
              </a:defRPr>
            </a:lvl1pPr>
            <a:lvl2pPr marL="457200" algn="l" defTabSz="914400" rtl="0" eaLnBrk="1" latinLnBrk="0" hangingPunct="1">
              <a:defRPr sz="1800" kern="1200">
                <a:solidFill>
                  <a:sysClr val="window" lastClr="FFFFFF"/>
                </a:solidFill>
                <a:latin typeface="Aptos" panose="02110004020202020204"/>
              </a:defRPr>
            </a:lvl2pPr>
            <a:lvl3pPr marL="914400" algn="l" defTabSz="914400" rtl="0" eaLnBrk="1" latinLnBrk="0" hangingPunct="1">
              <a:defRPr sz="1800" kern="1200">
                <a:solidFill>
                  <a:sysClr val="window" lastClr="FFFFFF"/>
                </a:solidFill>
                <a:latin typeface="Aptos" panose="02110004020202020204"/>
              </a:defRPr>
            </a:lvl3pPr>
            <a:lvl4pPr marL="1371600" algn="l" defTabSz="914400" rtl="0" eaLnBrk="1" latinLnBrk="0" hangingPunct="1">
              <a:defRPr sz="1800" kern="1200">
                <a:solidFill>
                  <a:sysClr val="window" lastClr="FFFFFF"/>
                </a:solidFill>
                <a:latin typeface="Aptos" panose="02110004020202020204"/>
              </a:defRPr>
            </a:lvl4pPr>
            <a:lvl5pPr marL="1828800" algn="l" defTabSz="914400" rtl="0" eaLnBrk="1" latinLnBrk="0" hangingPunct="1">
              <a:defRPr sz="1800" kern="1200">
                <a:solidFill>
                  <a:sysClr val="window" lastClr="FFFFFF"/>
                </a:solidFill>
                <a:latin typeface="Aptos" panose="02110004020202020204"/>
              </a:defRPr>
            </a:lvl5pPr>
            <a:lvl6pPr marL="2286000" algn="l" defTabSz="914400" rtl="0" eaLnBrk="1" latinLnBrk="0" hangingPunct="1">
              <a:defRPr sz="1800" kern="1200">
                <a:solidFill>
                  <a:sysClr val="window" lastClr="FFFFFF"/>
                </a:solidFill>
                <a:latin typeface="Aptos" panose="02110004020202020204"/>
              </a:defRPr>
            </a:lvl6pPr>
            <a:lvl7pPr marL="2743200" algn="l" defTabSz="914400" rtl="0" eaLnBrk="1" latinLnBrk="0" hangingPunct="1">
              <a:defRPr sz="1800" kern="1200">
                <a:solidFill>
                  <a:sysClr val="window" lastClr="FFFFFF"/>
                </a:solidFill>
                <a:latin typeface="Aptos" panose="02110004020202020204"/>
              </a:defRPr>
            </a:lvl7pPr>
            <a:lvl8pPr marL="3200400" algn="l" defTabSz="914400" rtl="0" eaLnBrk="1" latinLnBrk="0" hangingPunct="1">
              <a:defRPr sz="1800" kern="1200">
                <a:solidFill>
                  <a:sysClr val="window" lastClr="FFFFFF"/>
                </a:solidFill>
                <a:latin typeface="Aptos" panose="02110004020202020204"/>
              </a:defRPr>
            </a:lvl8pPr>
            <a:lvl9pPr marL="3657600" algn="l" defTabSz="914400" rtl="0" eaLnBrk="1" latinLnBrk="0" hangingPunct="1">
              <a:defRPr sz="1800" kern="1200">
                <a:solidFill>
                  <a:sysClr val="window" lastClr="FFFFFF"/>
                </a:solidFill>
                <a:latin typeface="Aptos" panose="02110004020202020204"/>
              </a:defRPr>
            </a:lvl9pPr>
          </a:lstStyle>
          <a:p>
            <a:pPr algn="ctr"/>
            <a:endParaRPr lang="en-US"/>
          </a:p>
        </xdr:txBody>
      </xdr:sp>
      <xdr:sp macro="" textlink="">
        <xdr:nvSpPr>
          <xdr:cNvPr id="47" name="TextBox 50">
            <a:extLst>
              <a:ext uri="{FF2B5EF4-FFF2-40B4-BE49-F238E27FC236}">
                <a16:creationId xmlns:a16="http://schemas.microsoft.com/office/drawing/2014/main" id="{20436B7D-624C-F0FF-D11D-AB77387FAE31}"/>
              </a:ext>
            </a:extLst>
          </xdr:cNvPr>
          <xdr:cNvSpPr txBox="1"/>
        </xdr:nvSpPr>
        <xdr:spPr>
          <a:xfrm>
            <a:off x="12986657" y="516193"/>
            <a:ext cx="807494" cy="306295"/>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ysClr val="windowText" lastClr="000000"/>
                </a:solidFill>
                <a:latin typeface="Aptos" panose="02110004020202020204"/>
              </a:defRPr>
            </a:lvl1pPr>
            <a:lvl2pPr marL="457200" algn="l" defTabSz="914400" rtl="0" eaLnBrk="1" latinLnBrk="0" hangingPunct="1">
              <a:defRPr sz="1800" kern="1200">
                <a:solidFill>
                  <a:sysClr val="windowText" lastClr="000000"/>
                </a:solidFill>
                <a:latin typeface="Aptos" panose="02110004020202020204"/>
              </a:defRPr>
            </a:lvl2pPr>
            <a:lvl3pPr marL="914400" algn="l" defTabSz="914400" rtl="0" eaLnBrk="1" latinLnBrk="0" hangingPunct="1">
              <a:defRPr sz="1800" kern="1200">
                <a:solidFill>
                  <a:sysClr val="windowText" lastClr="000000"/>
                </a:solidFill>
                <a:latin typeface="Aptos" panose="02110004020202020204"/>
              </a:defRPr>
            </a:lvl3pPr>
            <a:lvl4pPr marL="1371600" algn="l" defTabSz="914400" rtl="0" eaLnBrk="1" latinLnBrk="0" hangingPunct="1">
              <a:defRPr sz="1800" kern="1200">
                <a:solidFill>
                  <a:sysClr val="windowText" lastClr="000000"/>
                </a:solidFill>
                <a:latin typeface="Aptos" panose="02110004020202020204"/>
              </a:defRPr>
            </a:lvl4pPr>
            <a:lvl5pPr marL="1828800" algn="l" defTabSz="914400" rtl="0" eaLnBrk="1" latinLnBrk="0" hangingPunct="1">
              <a:defRPr sz="1800" kern="1200">
                <a:solidFill>
                  <a:sysClr val="windowText" lastClr="000000"/>
                </a:solidFill>
                <a:latin typeface="Aptos" panose="02110004020202020204"/>
              </a:defRPr>
            </a:lvl5pPr>
            <a:lvl6pPr marL="2286000" algn="l" defTabSz="914400" rtl="0" eaLnBrk="1" latinLnBrk="0" hangingPunct="1">
              <a:defRPr sz="1800" kern="1200">
                <a:solidFill>
                  <a:sysClr val="windowText" lastClr="000000"/>
                </a:solidFill>
                <a:latin typeface="Aptos" panose="02110004020202020204"/>
              </a:defRPr>
            </a:lvl6pPr>
            <a:lvl7pPr marL="2743200" algn="l" defTabSz="914400" rtl="0" eaLnBrk="1" latinLnBrk="0" hangingPunct="1">
              <a:defRPr sz="1800" kern="1200">
                <a:solidFill>
                  <a:sysClr val="windowText" lastClr="000000"/>
                </a:solidFill>
                <a:latin typeface="Aptos" panose="02110004020202020204"/>
              </a:defRPr>
            </a:lvl7pPr>
            <a:lvl8pPr marL="3200400" algn="l" defTabSz="914400" rtl="0" eaLnBrk="1" latinLnBrk="0" hangingPunct="1">
              <a:defRPr sz="1800" kern="1200">
                <a:solidFill>
                  <a:sysClr val="windowText" lastClr="000000"/>
                </a:solidFill>
                <a:latin typeface="Aptos" panose="02110004020202020204"/>
              </a:defRPr>
            </a:lvl8pPr>
            <a:lvl9pPr marL="3657600" algn="l" defTabSz="914400" rtl="0" eaLnBrk="1" latinLnBrk="0" hangingPunct="1">
              <a:defRPr sz="1800" kern="1200">
                <a:solidFill>
                  <a:sysClr val="windowText" lastClr="000000"/>
                </a:solidFill>
                <a:latin typeface="Aptos" panose="02110004020202020204"/>
              </a:defRPr>
            </a:lvl9pPr>
          </a:lstStyle>
          <a:p>
            <a:pPr algn="ctr"/>
            <a:r>
              <a:rPr lang="en-US" sz="1400" b="1">
                <a:solidFill>
                  <a:schemeClr val="bg1"/>
                </a:solidFill>
                <a:latin typeface="Arial" panose="020B0604020202020204" pitchFamily="34" charset="0"/>
                <a:cs typeface="Arial" panose="020B0604020202020204" pitchFamily="34" charset="0"/>
              </a:rPr>
              <a:t>Back </a:t>
            </a:r>
          </a:p>
        </xdr:txBody>
      </xdr:sp>
      <xdr:pic>
        <xdr:nvPicPr>
          <xdr:cNvPr id="48" name="Picture 47">
            <a:hlinkClick xmlns:r="http://schemas.openxmlformats.org/officeDocument/2006/relationships" r:id="rId11"/>
            <a:extLst>
              <a:ext uri="{FF2B5EF4-FFF2-40B4-BE49-F238E27FC236}">
                <a16:creationId xmlns:a16="http://schemas.microsoft.com/office/drawing/2014/main" id="{521EED02-A08C-E800-6120-9729ACB49DFF}"/>
              </a:ext>
            </a:extLst>
          </xdr:cNvPr>
          <xdr:cNvPicPr>
            <a:picLocks noChangeAspect="1"/>
          </xdr:cNvPicPr>
        </xdr:nvPicPr>
        <xdr:blipFill>
          <a:blip xmlns:r="http://schemas.openxmlformats.org/officeDocument/2006/relationships" r:embed="rId15" cstate="print">
            <a:duotone>
              <a:schemeClr val="bg2">
                <a:shade val="45000"/>
                <a:satMod val="135000"/>
              </a:schemeClr>
              <a:prstClr val="white"/>
            </a:duotone>
            <a:alphaModFix/>
            <a:extLst>
              <a:ext uri="{BEBA8EAE-BF5A-486C-A8C5-ECC9F3942E4B}">
                <a14:imgProps xmlns:a14="http://schemas.microsoft.com/office/drawing/2010/main">
                  <a14:imgLayer r:embed="rId16">
                    <a14:imgEffect>
                      <a14:artisticGlowEdges/>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rot="10800000" flipH="1" flipV="1">
            <a:off x="13868400" y="556576"/>
            <a:ext cx="228600" cy="225439"/>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3.543507523151" createdVersion="8" refreshedVersion="8" minRefreshableVersion="3" recordCount="500" xr:uid="{9DEFE452-EC89-49F9-9CC2-0D2E074F2C41}">
  <cacheSource type="worksheet">
    <worksheetSource name="customer"/>
  </cacheSource>
  <cacheFields count="16">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Customer_Segment" numFmtId="0">
      <sharedItems count="3">
        <s v="Retail"/>
        <s v="Corporate"/>
        <s v="Private"/>
      </sharedItems>
    </cacheField>
    <cacheField name="Join_Date" numFmtId="22">
      <sharedItems containsSemiMixedTypes="0" containsNonDate="0" containsDate="1" containsString="0" minDate="2015-08-23T00:00:00" maxDate="2025-08-23T00:00:00"/>
    </cacheField>
    <cacheField name="Generations" numFmtId="0">
      <sharedItems count="4">
        <s v="Millenials"/>
        <s v="Gen X"/>
        <s v="Gen Z"/>
        <s v="Boomers"/>
      </sharedItems>
    </cacheField>
    <cacheField name="Age.1" numFmtId="0">
      <sharedItems containsSemiMixedTypes="0" containsString="0" containsNumber="1" containsInteger="1" minValue="0" maxValue="10"/>
    </cacheField>
    <cacheField name="Tenure" numFmtId="0">
      <sharedItems count="4">
        <s v="Emerging"/>
        <s v="Loyal"/>
        <s v="Legacy"/>
        <s v="New"/>
      </sharedItems>
    </cacheField>
    <cacheField name="Income Bracket" numFmtId="0">
      <sharedItems count="3">
        <s v="High"/>
        <s v="Medium"/>
        <s v="Low"/>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 name="Generations - Copy" numFmtId="0">
      <sharedItems/>
    </cacheField>
    <cacheField name="Customsorting"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415369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Deborah Dominguez MD"/>
    <x v="0"/>
    <n v="38"/>
    <x v="0"/>
    <x v="0"/>
    <n v="191672"/>
    <x v="0"/>
    <d v="2023-04-25T00:00:00"/>
    <x v="0"/>
    <n v="3"/>
    <x v="0"/>
    <x v="0"/>
    <x v="0"/>
    <s v="Millenials"/>
    <n v="2"/>
  </r>
  <r>
    <s v="CUST0002"/>
    <s v="Erin Martinez"/>
    <x v="1"/>
    <n v="49"/>
    <x v="1"/>
    <x v="1"/>
    <n v="186472"/>
    <x v="1"/>
    <d v="2021-05-15T00:00:00"/>
    <x v="1"/>
    <n v="5"/>
    <x v="1"/>
    <x v="0"/>
    <x v="1"/>
    <s v="Gen X"/>
    <n v="3"/>
  </r>
  <r>
    <s v="CUST0003"/>
    <s v="Amanda Harris"/>
    <x v="0"/>
    <n v="40"/>
    <x v="0"/>
    <x v="2"/>
    <n v="155566"/>
    <x v="2"/>
    <d v="2018-12-04T00:00:00"/>
    <x v="0"/>
    <n v="7"/>
    <x v="1"/>
    <x v="0"/>
    <x v="2"/>
    <s v="Millenials"/>
    <n v="2"/>
  </r>
  <r>
    <s v="CUST0004"/>
    <s v="Candice Palmer"/>
    <x v="0"/>
    <n v="50"/>
    <x v="0"/>
    <x v="3"/>
    <n v="142744"/>
    <x v="0"/>
    <d v="2021-10-25T00:00:00"/>
    <x v="1"/>
    <n v="4"/>
    <x v="1"/>
    <x v="1"/>
    <x v="1"/>
    <s v="Gen X"/>
    <n v="3"/>
  </r>
  <r>
    <s v="CUST0005"/>
    <s v="Sandra Davis"/>
    <x v="0"/>
    <n v="20"/>
    <x v="2"/>
    <x v="4"/>
    <n v="109431"/>
    <x v="1"/>
    <d v="2018-07-28T00:00:00"/>
    <x v="2"/>
    <n v="7"/>
    <x v="1"/>
    <x v="1"/>
    <x v="2"/>
    <s v="Gen Z"/>
    <n v="1"/>
  </r>
  <r>
    <s v="CUST0006"/>
    <s v="Vanessa Peterson"/>
    <x v="1"/>
    <n v="35"/>
    <x v="3"/>
    <x v="2"/>
    <n v="63001"/>
    <x v="0"/>
    <d v="2016-05-30T00:00:00"/>
    <x v="0"/>
    <n v="10"/>
    <x v="2"/>
    <x v="2"/>
    <x v="3"/>
    <s v="Millenials"/>
    <n v="2"/>
  </r>
  <r>
    <s v="CUST0007"/>
    <s v="Tyler Fischer"/>
    <x v="0"/>
    <n v="42"/>
    <x v="0"/>
    <x v="5"/>
    <n v="87364"/>
    <x v="1"/>
    <d v="2017-10-18T00:00:00"/>
    <x v="0"/>
    <n v="8"/>
    <x v="2"/>
    <x v="2"/>
    <x v="4"/>
    <s v="Millenials"/>
    <n v="2"/>
  </r>
  <r>
    <s v="CUST0008"/>
    <s v="William Horton"/>
    <x v="0"/>
    <n v="59"/>
    <x v="0"/>
    <x v="5"/>
    <n v="144988"/>
    <x v="0"/>
    <d v="2024-06-05T00:00:00"/>
    <x v="1"/>
    <n v="2"/>
    <x v="0"/>
    <x v="1"/>
    <x v="5"/>
    <s v="Gen X"/>
    <n v="3"/>
  </r>
  <r>
    <s v="CUST0009"/>
    <s v="Donna Williams"/>
    <x v="0"/>
    <n v="48"/>
    <x v="2"/>
    <x v="6"/>
    <n v="65028"/>
    <x v="1"/>
    <d v="2019-02-11T00:00:00"/>
    <x v="1"/>
    <n v="7"/>
    <x v="1"/>
    <x v="2"/>
    <x v="6"/>
    <s v="Gen X"/>
    <n v="3"/>
  </r>
  <r>
    <s v="CUST0010"/>
    <s v="Mary Casey"/>
    <x v="1"/>
    <n v="71"/>
    <x v="2"/>
    <x v="1"/>
    <n v="188645"/>
    <x v="1"/>
    <d v="2016-02-05T00:00:00"/>
    <x v="3"/>
    <n v="10"/>
    <x v="2"/>
    <x v="0"/>
    <x v="3"/>
    <s v="Boomers"/>
    <n v="4"/>
  </r>
  <r>
    <s v="CUST0011"/>
    <s v="Kevin Phillips"/>
    <x v="0"/>
    <n v="20"/>
    <x v="3"/>
    <x v="0"/>
    <n v="151878"/>
    <x v="2"/>
    <d v="2017-02-15T00:00:00"/>
    <x v="2"/>
    <n v="9"/>
    <x v="2"/>
    <x v="0"/>
    <x v="4"/>
    <s v="Gen Z"/>
    <n v="1"/>
  </r>
  <r>
    <s v="CUST0012"/>
    <s v="Michael Richard"/>
    <x v="0"/>
    <n v="57"/>
    <x v="2"/>
    <x v="1"/>
    <n v="144343"/>
    <x v="1"/>
    <d v="2023-12-20T00:00:00"/>
    <x v="1"/>
    <n v="2"/>
    <x v="0"/>
    <x v="1"/>
    <x v="0"/>
    <s v="Gen X"/>
    <n v="3"/>
  </r>
  <r>
    <s v="CUST0013"/>
    <s v="Jaime Davis MD"/>
    <x v="0"/>
    <n v="63"/>
    <x v="1"/>
    <x v="1"/>
    <n v="148301"/>
    <x v="0"/>
    <d v="2023-04-02T00:00:00"/>
    <x v="3"/>
    <n v="3"/>
    <x v="0"/>
    <x v="1"/>
    <x v="0"/>
    <s v="Boomers"/>
    <n v="4"/>
  </r>
  <r>
    <s v="CUST0014"/>
    <s v="Eric Peterson"/>
    <x v="0"/>
    <n v="41"/>
    <x v="2"/>
    <x v="1"/>
    <n v="146295"/>
    <x v="1"/>
    <d v="2017-08-13T00:00:00"/>
    <x v="0"/>
    <n v="8"/>
    <x v="2"/>
    <x v="1"/>
    <x v="4"/>
    <s v="Millenials"/>
    <n v="2"/>
  </r>
  <r>
    <s v="CUST0015"/>
    <s v="Ms. Renee Cardenas PhD"/>
    <x v="1"/>
    <n v="67"/>
    <x v="1"/>
    <x v="1"/>
    <n v="180829"/>
    <x v="1"/>
    <d v="2019-07-27T00:00:00"/>
    <x v="3"/>
    <n v="6"/>
    <x v="1"/>
    <x v="0"/>
    <x v="6"/>
    <s v="Boomers"/>
    <n v="4"/>
  </r>
  <r>
    <s v="CUST0016"/>
    <s v="Ashlee Baird"/>
    <x v="0"/>
    <n v="49"/>
    <x v="3"/>
    <x v="3"/>
    <n v="54636"/>
    <x v="0"/>
    <d v="2019-06-27T00:00:00"/>
    <x v="1"/>
    <n v="7"/>
    <x v="1"/>
    <x v="2"/>
    <x v="6"/>
    <s v="Gen X"/>
    <n v="3"/>
  </r>
  <r>
    <s v="CUST0017"/>
    <s v="Michael Conner"/>
    <x v="1"/>
    <n v="64"/>
    <x v="3"/>
    <x v="3"/>
    <n v="199352"/>
    <x v="0"/>
    <d v="2021-06-28T00:00:00"/>
    <x v="3"/>
    <n v="5"/>
    <x v="1"/>
    <x v="0"/>
    <x v="1"/>
    <s v="Boomers"/>
    <n v="4"/>
  </r>
  <r>
    <s v="CUST0018"/>
    <s v="Jeff Koch"/>
    <x v="1"/>
    <n v="39"/>
    <x v="3"/>
    <x v="6"/>
    <n v="44262"/>
    <x v="2"/>
    <d v="2025-03-12T00:00:00"/>
    <x v="0"/>
    <n v="1"/>
    <x v="3"/>
    <x v="2"/>
    <x v="7"/>
    <s v="Millenials"/>
    <n v="2"/>
  </r>
  <r>
    <s v="CUST0019"/>
    <s v="Melissa Clark"/>
    <x v="1"/>
    <n v="40"/>
    <x v="3"/>
    <x v="2"/>
    <n v="100435"/>
    <x v="1"/>
    <d v="2021-09-17T00:00:00"/>
    <x v="0"/>
    <n v="4"/>
    <x v="1"/>
    <x v="1"/>
    <x v="1"/>
    <s v="Millenials"/>
    <n v="2"/>
  </r>
  <r>
    <s v="CUST0020"/>
    <s v="Janice Scott"/>
    <x v="0"/>
    <n v="19"/>
    <x v="3"/>
    <x v="5"/>
    <n v="148583"/>
    <x v="1"/>
    <d v="2023-05-12T00:00:00"/>
    <x v="2"/>
    <n v="3"/>
    <x v="0"/>
    <x v="1"/>
    <x v="0"/>
    <s v="Gen Z"/>
    <n v="1"/>
  </r>
  <r>
    <s v="CUST0021"/>
    <s v="Elizabeth Smith"/>
    <x v="1"/>
    <n v="44"/>
    <x v="1"/>
    <x v="1"/>
    <n v="189269"/>
    <x v="0"/>
    <d v="2024-05-02T00:00:00"/>
    <x v="0"/>
    <n v="2"/>
    <x v="0"/>
    <x v="0"/>
    <x v="5"/>
    <s v="Millenials"/>
    <n v="2"/>
  </r>
  <r>
    <s v="CUST0022"/>
    <s v="Jodi Burns"/>
    <x v="0"/>
    <n v="59"/>
    <x v="1"/>
    <x v="6"/>
    <n v="61844"/>
    <x v="1"/>
    <d v="2023-07-11T00:00:00"/>
    <x v="1"/>
    <n v="2"/>
    <x v="0"/>
    <x v="2"/>
    <x v="0"/>
    <s v="Gen X"/>
    <n v="3"/>
  </r>
  <r>
    <s v="CUST0023"/>
    <s v="Robert Robertson"/>
    <x v="1"/>
    <n v="19"/>
    <x v="3"/>
    <x v="2"/>
    <n v="84754"/>
    <x v="0"/>
    <d v="2022-07-03T00:00:00"/>
    <x v="2"/>
    <n v="4"/>
    <x v="1"/>
    <x v="2"/>
    <x v="8"/>
    <s v="Gen Z"/>
    <n v="1"/>
  </r>
  <r>
    <s v="CUST0024"/>
    <s v="Curtis Scott"/>
    <x v="1"/>
    <n v="43"/>
    <x v="2"/>
    <x v="5"/>
    <n v="185229"/>
    <x v="1"/>
    <d v="2017-01-30T00:00:00"/>
    <x v="0"/>
    <n v="9"/>
    <x v="2"/>
    <x v="0"/>
    <x v="4"/>
    <s v="Millenials"/>
    <n v="2"/>
  </r>
  <r>
    <s v="CUST0025"/>
    <s v="Cindy Parks"/>
    <x v="1"/>
    <n v="34"/>
    <x v="0"/>
    <x v="4"/>
    <n v="97129"/>
    <x v="0"/>
    <d v="2019-09-10T00:00:00"/>
    <x v="0"/>
    <n v="6"/>
    <x v="1"/>
    <x v="2"/>
    <x v="6"/>
    <s v="Millenials"/>
    <n v="2"/>
  </r>
  <r>
    <s v="CUST0026"/>
    <s v="Charles Fields"/>
    <x v="1"/>
    <n v="57"/>
    <x v="3"/>
    <x v="0"/>
    <n v="60042"/>
    <x v="1"/>
    <d v="2021-09-30T00:00:00"/>
    <x v="1"/>
    <n v="4"/>
    <x v="1"/>
    <x v="2"/>
    <x v="1"/>
    <s v="Gen X"/>
    <n v="3"/>
  </r>
  <r>
    <s v="CUST0027"/>
    <s v="Michael Murray MD"/>
    <x v="1"/>
    <n v="50"/>
    <x v="2"/>
    <x v="3"/>
    <n v="81665"/>
    <x v="2"/>
    <d v="2016-08-25T00:00:00"/>
    <x v="1"/>
    <n v="9"/>
    <x v="2"/>
    <x v="2"/>
    <x v="3"/>
    <s v="Gen X"/>
    <n v="3"/>
  </r>
  <r>
    <s v="CUST0028"/>
    <s v="Edward Haynes"/>
    <x v="1"/>
    <n v="26"/>
    <x v="0"/>
    <x v="4"/>
    <n v="136953"/>
    <x v="0"/>
    <d v="2019-08-21T00:00:00"/>
    <x v="2"/>
    <n v="6"/>
    <x v="1"/>
    <x v="1"/>
    <x v="6"/>
    <s v="Gen Z"/>
    <n v="1"/>
  </r>
  <r>
    <s v="CUST0029"/>
    <s v="James Allen"/>
    <x v="1"/>
    <n v="60"/>
    <x v="3"/>
    <x v="5"/>
    <n v="178448"/>
    <x v="2"/>
    <d v="2022-09-30T00:00:00"/>
    <x v="1"/>
    <n v="3"/>
    <x v="0"/>
    <x v="0"/>
    <x v="8"/>
    <s v="Gen X"/>
    <n v="3"/>
  </r>
  <r>
    <s v="CUST0030"/>
    <s v="Angela Robinson"/>
    <x v="1"/>
    <n v="71"/>
    <x v="3"/>
    <x v="4"/>
    <n v="165271"/>
    <x v="0"/>
    <d v="2020-10-05T00:00:00"/>
    <x v="3"/>
    <n v="5"/>
    <x v="1"/>
    <x v="0"/>
    <x v="9"/>
    <s v="Boomers"/>
    <n v="4"/>
  </r>
  <r>
    <s v="CUST0031"/>
    <s v="Michelle Day"/>
    <x v="0"/>
    <n v="65"/>
    <x v="1"/>
    <x v="0"/>
    <n v="138533"/>
    <x v="1"/>
    <d v="2017-01-07T00:00:00"/>
    <x v="3"/>
    <n v="9"/>
    <x v="2"/>
    <x v="1"/>
    <x v="4"/>
    <s v="Boomers"/>
    <n v="4"/>
  </r>
  <r>
    <s v="CUST0032"/>
    <s v="Steven Walker"/>
    <x v="0"/>
    <n v="56"/>
    <x v="0"/>
    <x v="6"/>
    <n v="93781"/>
    <x v="1"/>
    <d v="2016-07-14T00:00:00"/>
    <x v="1"/>
    <n v="9"/>
    <x v="2"/>
    <x v="2"/>
    <x v="3"/>
    <s v="Gen X"/>
    <n v="3"/>
  </r>
  <r>
    <s v="CUST0033"/>
    <s v="Lindsey Christensen"/>
    <x v="1"/>
    <n v="46"/>
    <x v="0"/>
    <x v="5"/>
    <n v="86262"/>
    <x v="0"/>
    <d v="2019-08-21T00:00:00"/>
    <x v="1"/>
    <n v="6"/>
    <x v="1"/>
    <x v="2"/>
    <x v="6"/>
    <s v="Gen X"/>
    <n v="3"/>
  </r>
  <r>
    <s v="CUST0034"/>
    <s v="Brooke Carlson"/>
    <x v="1"/>
    <n v="59"/>
    <x v="2"/>
    <x v="4"/>
    <n v="66600"/>
    <x v="1"/>
    <d v="2021-11-13T00:00:00"/>
    <x v="1"/>
    <n v="4"/>
    <x v="1"/>
    <x v="2"/>
    <x v="1"/>
    <s v="Gen X"/>
    <n v="3"/>
  </r>
  <r>
    <s v="CUST0035"/>
    <s v="Kevin Marshall"/>
    <x v="1"/>
    <n v="72"/>
    <x v="1"/>
    <x v="3"/>
    <n v="96898"/>
    <x v="1"/>
    <d v="2016-06-12T00:00:00"/>
    <x v="3"/>
    <n v="10"/>
    <x v="2"/>
    <x v="2"/>
    <x v="3"/>
    <s v="Boomers"/>
    <n v="4"/>
  </r>
  <r>
    <s v="CUST0036"/>
    <s v="Bradley Moore"/>
    <x v="0"/>
    <n v="43"/>
    <x v="1"/>
    <x v="3"/>
    <n v="169369"/>
    <x v="0"/>
    <d v="2017-06-16T00:00:00"/>
    <x v="0"/>
    <n v="9"/>
    <x v="2"/>
    <x v="0"/>
    <x v="4"/>
    <s v="Millenials"/>
    <n v="2"/>
  </r>
  <r>
    <s v="CUST0037"/>
    <s v="Dawn Navarro"/>
    <x v="1"/>
    <n v="52"/>
    <x v="1"/>
    <x v="2"/>
    <n v="50448"/>
    <x v="0"/>
    <d v="2017-07-06T00:00:00"/>
    <x v="1"/>
    <n v="8"/>
    <x v="2"/>
    <x v="2"/>
    <x v="4"/>
    <s v="Gen X"/>
    <n v="3"/>
  </r>
  <r>
    <s v="CUST0038"/>
    <s v="Adam Garcia"/>
    <x v="0"/>
    <n v="67"/>
    <x v="1"/>
    <x v="4"/>
    <n v="46172"/>
    <x v="1"/>
    <d v="2021-11-07T00:00:00"/>
    <x v="3"/>
    <n v="4"/>
    <x v="1"/>
    <x v="2"/>
    <x v="1"/>
    <s v="Boomers"/>
    <n v="4"/>
  </r>
  <r>
    <s v="CUST0039"/>
    <s v="Jorge James"/>
    <x v="0"/>
    <n v="42"/>
    <x v="0"/>
    <x v="1"/>
    <n v="193946"/>
    <x v="1"/>
    <d v="2020-08-31T00:00:00"/>
    <x v="0"/>
    <n v="5"/>
    <x v="1"/>
    <x v="0"/>
    <x v="9"/>
    <s v="Millenials"/>
    <n v="2"/>
  </r>
  <r>
    <s v="CUST0040"/>
    <s v="Adam Montgomery"/>
    <x v="0"/>
    <n v="41"/>
    <x v="0"/>
    <x v="4"/>
    <n v="27657"/>
    <x v="1"/>
    <d v="2015-10-19T00:00:00"/>
    <x v="0"/>
    <n v="10"/>
    <x v="2"/>
    <x v="2"/>
    <x v="10"/>
    <s v="Millenials"/>
    <n v="2"/>
  </r>
  <r>
    <s v="CUST0041"/>
    <s v="Dr. Nicole Mendez"/>
    <x v="0"/>
    <n v="30"/>
    <x v="3"/>
    <x v="6"/>
    <n v="176497"/>
    <x v="1"/>
    <d v="2017-04-28T00:00:00"/>
    <x v="0"/>
    <n v="9"/>
    <x v="2"/>
    <x v="0"/>
    <x v="4"/>
    <s v="Millenials"/>
    <n v="2"/>
  </r>
  <r>
    <s v="CUST0042"/>
    <s v="Joseph Owens"/>
    <x v="0"/>
    <n v="24"/>
    <x v="3"/>
    <x v="5"/>
    <n v="177757"/>
    <x v="0"/>
    <d v="2016-07-25T00:00:00"/>
    <x v="2"/>
    <n v="9"/>
    <x v="2"/>
    <x v="0"/>
    <x v="3"/>
    <s v="Gen Z"/>
    <n v="1"/>
  </r>
  <r>
    <s v="CUST0043"/>
    <s v="Stephanie Ashley"/>
    <x v="1"/>
    <n v="74"/>
    <x v="1"/>
    <x v="5"/>
    <n v="132855"/>
    <x v="1"/>
    <d v="2022-07-10T00:00:00"/>
    <x v="3"/>
    <n v="3"/>
    <x v="0"/>
    <x v="1"/>
    <x v="8"/>
    <s v="Boomers"/>
    <n v="4"/>
  </r>
  <r>
    <s v="CUST0044"/>
    <s v="Regina Harris"/>
    <x v="1"/>
    <n v="53"/>
    <x v="1"/>
    <x v="6"/>
    <n v="175650"/>
    <x v="0"/>
    <d v="2021-08-19T00:00:00"/>
    <x v="1"/>
    <n v="4"/>
    <x v="1"/>
    <x v="0"/>
    <x v="1"/>
    <s v="Gen X"/>
    <n v="3"/>
  </r>
  <r>
    <s v="CUST0045"/>
    <s v="Ashley Miller"/>
    <x v="1"/>
    <n v="62"/>
    <x v="1"/>
    <x v="4"/>
    <n v="179903"/>
    <x v="0"/>
    <d v="2019-06-20T00:00:00"/>
    <x v="3"/>
    <n v="7"/>
    <x v="1"/>
    <x v="0"/>
    <x v="6"/>
    <s v="Boomers"/>
    <n v="4"/>
  </r>
  <r>
    <s v="CUST0046"/>
    <s v="Keith Watson"/>
    <x v="1"/>
    <n v="37"/>
    <x v="3"/>
    <x v="6"/>
    <n v="27906"/>
    <x v="0"/>
    <d v="2021-05-07T00:00:00"/>
    <x v="0"/>
    <n v="5"/>
    <x v="1"/>
    <x v="2"/>
    <x v="1"/>
    <s v="Millenials"/>
    <n v="2"/>
  </r>
  <r>
    <s v="CUST0047"/>
    <s v="Patricia Schneider"/>
    <x v="1"/>
    <n v="18"/>
    <x v="2"/>
    <x v="0"/>
    <n v="81413"/>
    <x v="0"/>
    <d v="2017-04-06T00:00:00"/>
    <x v="2"/>
    <n v="9"/>
    <x v="2"/>
    <x v="2"/>
    <x v="4"/>
    <s v="Gen Z"/>
    <n v="1"/>
  </r>
  <r>
    <s v="CUST0048"/>
    <s v="Deanna Watson"/>
    <x v="0"/>
    <n v="25"/>
    <x v="2"/>
    <x v="6"/>
    <n v="74028"/>
    <x v="0"/>
    <d v="2024-07-05T00:00:00"/>
    <x v="2"/>
    <n v="1"/>
    <x v="3"/>
    <x v="2"/>
    <x v="5"/>
    <s v="Gen Z"/>
    <n v="1"/>
  </r>
  <r>
    <s v="CUST0049"/>
    <s v="Samantha Davis"/>
    <x v="1"/>
    <n v="63"/>
    <x v="3"/>
    <x v="3"/>
    <n v="27287"/>
    <x v="0"/>
    <d v="2017-01-15T00:00:00"/>
    <x v="3"/>
    <n v="9"/>
    <x v="2"/>
    <x v="2"/>
    <x v="4"/>
    <s v="Boomers"/>
    <n v="4"/>
  </r>
  <r>
    <s v="CUST0050"/>
    <s v="Michele Kim"/>
    <x v="1"/>
    <n v="33"/>
    <x v="3"/>
    <x v="6"/>
    <n v="53660"/>
    <x v="1"/>
    <d v="2023-03-07T00:00:00"/>
    <x v="0"/>
    <n v="3"/>
    <x v="0"/>
    <x v="2"/>
    <x v="0"/>
    <s v="Millenials"/>
    <n v="2"/>
  </r>
  <r>
    <s v="CUST0051"/>
    <s v="Daniel Logan"/>
    <x v="0"/>
    <n v="31"/>
    <x v="3"/>
    <x v="5"/>
    <n v="80504"/>
    <x v="0"/>
    <d v="2016-09-09T00:00:00"/>
    <x v="0"/>
    <n v="9"/>
    <x v="2"/>
    <x v="2"/>
    <x v="3"/>
    <s v="Millenials"/>
    <n v="2"/>
  </r>
  <r>
    <s v="CUST0052"/>
    <s v="Kimberly Valencia"/>
    <x v="1"/>
    <n v="29"/>
    <x v="3"/>
    <x v="3"/>
    <n v="122979"/>
    <x v="0"/>
    <d v="2023-05-26T00:00:00"/>
    <x v="0"/>
    <n v="3"/>
    <x v="0"/>
    <x v="1"/>
    <x v="0"/>
    <s v="Millenials"/>
    <n v="2"/>
  </r>
  <r>
    <s v="CUST0053"/>
    <s v="Nicole Fitzpatrick"/>
    <x v="0"/>
    <n v="68"/>
    <x v="3"/>
    <x v="5"/>
    <n v="54701"/>
    <x v="0"/>
    <d v="2022-06-28T00:00:00"/>
    <x v="3"/>
    <n v="4"/>
    <x v="1"/>
    <x v="2"/>
    <x v="8"/>
    <s v="Boomers"/>
    <n v="4"/>
  </r>
  <r>
    <s v="CUST0054"/>
    <s v="Carmen Thomas"/>
    <x v="1"/>
    <n v="40"/>
    <x v="3"/>
    <x v="2"/>
    <n v="103300"/>
    <x v="0"/>
    <d v="2020-10-03T00:00:00"/>
    <x v="0"/>
    <n v="5"/>
    <x v="1"/>
    <x v="1"/>
    <x v="9"/>
    <s v="Millenials"/>
    <n v="2"/>
  </r>
  <r>
    <s v="CUST0055"/>
    <s v="Darius Garcia"/>
    <x v="0"/>
    <n v="32"/>
    <x v="1"/>
    <x v="1"/>
    <n v="168746"/>
    <x v="0"/>
    <d v="2022-12-21T00:00:00"/>
    <x v="0"/>
    <n v="3"/>
    <x v="0"/>
    <x v="0"/>
    <x v="8"/>
    <s v="Millenials"/>
    <n v="2"/>
  </r>
  <r>
    <s v="CUST0056"/>
    <s v="Jackie West"/>
    <x v="1"/>
    <n v="45"/>
    <x v="1"/>
    <x v="5"/>
    <n v="103560"/>
    <x v="0"/>
    <d v="2022-05-30T00:00:00"/>
    <x v="1"/>
    <n v="4"/>
    <x v="1"/>
    <x v="1"/>
    <x v="8"/>
    <s v="Gen X"/>
    <n v="3"/>
  </r>
  <r>
    <s v="CUST0057"/>
    <s v="Brandy Murphy"/>
    <x v="1"/>
    <n v="51"/>
    <x v="1"/>
    <x v="3"/>
    <n v="174946"/>
    <x v="1"/>
    <d v="2019-07-25T00:00:00"/>
    <x v="1"/>
    <n v="6"/>
    <x v="1"/>
    <x v="0"/>
    <x v="6"/>
    <s v="Gen X"/>
    <n v="3"/>
  </r>
  <r>
    <s v="CUST0058"/>
    <s v="Rhonda Charles"/>
    <x v="0"/>
    <n v="19"/>
    <x v="1"/>
    <x v="2"/>
    <n v="63642"/>
    <x v="1"/>
    <d v="2019-06-06T00:00:00"/>
    <x v="2"/>
    <n v="7"/>
    <x v="1"/>
    <x v="2"/>
    <x v="6"/>
    <s v="Gen Z"/>
    <n v="1"/>
  </r>
  <r>
    <s v="CUST0059"/>
    <s v="Matthew Sanchez"/>
    <x v="0"/>
    <n v="49"/>
    <x v="3"/>
    <x v="5"/>
    <n v="85160"/>
    <x v="1"/>
    <d v="2024-03-09T00:00:00"/>
    <x v="1"/>
    <n v="2"/>
    <x v="0"/>
    <x v="2"/>
    <x v="5"/>
    <s v="Gen X"/>
    <n v="3"/>
  </r>
  <r>
    <s v="CUST0060"/>
    <s v="Meghan Le"/>
    <x v="0"/>
    <n v="40"/>
    <x v="2"/>
    <x v="0"/>
    <n v="37602"/>
    <x v="0"/>
    <d v="2018-11-11T00:00:00"/>
    <x v="0"/>
    <n v="7"/>
    <x v="1"/>
    <x v="2"/>
    <x v="2"/>
    <s v="Millenials"/>
    <n v="2"/>
  </r>
  <r>
    <s v="CUST0061"/>
    <s v="Ricky Fisher"/>
    <x v="0"/>
    <n v="39"/>
    <x v="0"/>
    <x v="6"/>
    <n v="123320"/>
    <x v="0"/>
    <d v="2022-11-13T00:00:00"/>
    <x v="0"/>
    <n v="3"/>
    <x v="0"/>
    <x v="1"/>
    <x v="8"/>
    <s v="Millenials"/>
    <n v="2"/>
  </r>
  <r>
    <s v="CUST0062"/>
    <s v="Tony Bell"/>
    <x v="0"/>
    <n v="68"/>
    <x v="3"/>
    <x v="1"/>
    <n v="108801"/>
    <x v="1"/>
    <d v="2024-11-01T00:00:00"/>
    <x v="3"/>
    <n v="1"/>
    <x v="3"/>
    <x v="1"/>
    <x v="5"/>
    <s v="Boomers"/>
    <n v="4"/>
  </r>
  <r>
    <s v="CUST0063"/>
    <s v="Matthew Ruiz"/>
    <x v="0"/>
    <n v="42"/>
    <x v="0"/>
    <x v="5"/>
    <n v="45931"/>
    <x v="0"/>
    <d v="2023-04-26T00:00:00"/>
    <x v="0"/>
    <n v="3"/>
    <x v="0"/>
    <x v="2"/>
    <x v="0"/>
    <s v="Millenials"/>
    <n v="2"/>
  </r>
  <r>
    <s v="CUST0064"/>
    <s v="Joshua White"/>
    <x v="0"/>
    <n v="39"/>
    <x v="2"/>
    <x v="2"/>
    <n v="114377"/>
    <x v="0"/>
    <d v="2023-03-12T00:00:00"/>
    <x v="0"/>
    <n v="3"/>
    <x v="0"/>
    <x v="1"/>
    <x v="0"/>
    <s v="Millenials"/>
    <n v="2"/>
  </r>
  <r>
    <s v="CUST0065"/>
    <s v="Crystal Smith"/>
    <x v="0"/>
    <n v="39"/>
    <x v="1"/>
    <x v="0"/>
    <n v="49192"/>
    <x v="0"/>
    <d v="2020-10-15T00:00:00"/>
    <x v="0"/>
    <n v="5"/>
    <x v="1"/>
    <x v="2"/>
    <x v="9"/>
    <s v="Millenials"/>
    <n v="2"/>
  </r>
  <r>
    <s v="CUST0066"/>
    <s v="Felicia Nelson"/>
    <x v="1"/>
    <n v="66"/>
    <x v="2"/>
    <x v="4"/>
    <n v="66542"/>
    <x v="0"/>
    <d v="2017-12-22T00:00:00"/>
    <x v="3"/>
    <n v="8"/>
    <x v="2"/>
    <x v="2"/>
    <x v="4"/>
    <s v="Boomers"/>
    <n v="4"/>
  </r>
  <r>
    <s v="CUST0067"/>
    <s v="Jessica Williams"/>
    <x v="1"/>
    <n v="69"/>
    <x v="3"/>
    <x v="2"/>
    <n v="147015"/>
    <x v="0"/>
    <d v="2023-03-11T00:00:00"/>
    <x v="3"/>
    <n v="3"/>
    <x v="0"/>
    <x v="1"/>
    <x v="0"/>
    <s v="Boomers"/>
    <n v="4"/>
  </r>
  <r>
    <s v="CUST0068"/>
    <s v="Barbara Gonzalez"/>
    <x v="0"/>
    <n v="59"/>
    <x v="1"/>
    <x v="6"/>
    <n v="62520"/>
    <x v="0"/>
    <d v="2017-11-30T00:00:00"/>
    <x v="1"/>
    <n v="8"/>
    <x v="2"/>
    <x v="2"/>
    <x v="4"/>
    <s v="Gen X"/>
    <n v="3"/>
  </r>
  <r>
    <s v="CUST0069"/>
    <s v="Amanda Beck"/>
    <x v="1"/>
    <n v="23"/>
    <x v="3"/>
    <x v="2"/>
    <n v="84772"/>
    <x v="0"/>
    <d v="2018-08-29T00:00:00"/>
    <x v="2"/>
    <n v="7"/>
    <x v="1"/>
    <x v="2"/>
    <x v="2"/>
    <s v="Gen Z"/>
    <n v="1"/>
  </r>
  <r>
    <s v="CUST0070"/>
    <s v="Bob Stout"/>
    <x v="1"/>
    <n v="32"/>
    <x v="1"/>
    <x v="0"/>
    <n v="70106"/>
    <x v="0"/>
    <d v="2024-07-04T00:00:00"/>
    <x v="0"/>
    <n v="1"/>
    <x v="3"/>
    <x v="2"/>
    <x v="5"/>
    <s v="Millenials"/>
    <n v="2"/>
  </r>
  <r>
    <s v="CUST0071"/>
    <s v="Ashley Johnson"/>
    <x v="1"/>
    <n v="71"/>
    <x v="0"/>
    <x v="2"/>
    <n v="101121"/>
    <x v="1"/>
    <d v="2025-06-07T00:00:00"/>
    <x v="3"/>
    <n v="1"/>
    <x v="3"/>
    <x v="1"/>
    <x v="7"/>
    <s v="Boomers"/>
    <n v="4"/>
  </r>
  <r>
    <s v="CUST0072"/>
    <s v="Billy Hendrix Jr."/>
    <x v="1"/>
    <n v="60"/>
    <x v="0"/>
    <x v="0"/>
    <n v="45559"/>
    <x v="1"/>
    <d v="2016-03-28T00:00:00"/>
    <x v="1"/>
    <n v="10"/>
    <x v="2"/>
    <x v="2"/>
    <x v="3"/>
    <s v="Gen X"/>
    <n v="3"/>
  </r>
  <r>
    <s v="CUST0073"/>
    <s v="Sarah Brown"/>
    <x v="0"/>
    <n v="54"/>
    <x v="0"/>
    <x v="5"/>
    <n v="125595"/>
    <x v="1"/>
    <d v="2020-04-08T00:00:00"/>
    <x v="1"/>
    <n v="6"/>
    <x v="1"/>
    <x v="1"/>
    <x v="9"/>
    <s v="Gen X"/>
    <n v="3"/>
  </r>
  <r>
    <s v="CUST0074"/>
    <s v="Christopher Chapman"/>
    <x v="1"/>
    <n v="50"/>
    <x v="2"/>
    <x v="0"/>
    <n v="53742"/>
    <x v="1"/>
    <d v="2025-01-20T00:00:00"/>
    <x v="1"/>
    <n v="1"/>
    <x v="3"/>
    <x v="2"/>
    <x v="7"/>
    <s v="Gen X"/>
    <n v="3"/>
  </r>
  <r>
    <s v="CUST0075"/>
    <s v="Stephen Jacobs"/>
    <x v="0"/>
    <n v="25"/>
    <x v="3"/>
    <x v="0"/>
    <n v="89669"/>
    <x v="2"/>
    <d v="2018-07-28T00:00:00"/>
    <x v="2"/>
    <n v="7"/>
    <x v="1"/>
    <x v="2"/>
    <x v="2"/>
    <s v="Gen Z"/>
    <n v="1"/>
  </r>
  <r>
    <s v="CUST0076"/>
    <s v="Pamela Johnson"/>
    <x v="1"/>
    <n v="70"/>
    <x v="2"/>
    <x v="1"/>
    <n v="172826"/>
    <x v="0"/>
    <d v="2017-07-01T00:00:00"/>
    <x v="3"/>
    <n v="9"/>
    <x v="2"/>
    <x v="0"/>
    <x v="4"/>
    <s v="Boomers"/>
    <n v="4"/>
  </r>
  <r>
    <s v="CUST0077"/>
    <s v="Bryan Butler"/>
    <x v="1"/>
    <n v="61"/>
    <x v="0"/>
    <x v="0"/>
    <n v="155044"/>
    <x v="0"/>
    <d v="2022-01-23T00:00:00"/>
    <x v="3"/>
    <n v="4"/>
    <x v="1"/>
    <x v="0"/>
    <x v="8"/>
    <s v="Boomers"/>
    <n v="4"/>
  </r>
  <r>
    <s v="CUST0078"/>
    <s v="Jenna Butler"/>
    <x v="1"/>
    <n v="61"/>
    <x v="3"/>
    <x v="0"/>
    <n v="90831"/>
    <x v="0"/>
    <d v="2018-07-21T00:00:00"/>
    <x v="3"/>
    <n v="7"/>
    <x v="1"/>
    <x v="2"/>
    <x v="2"/>
    <s v="Boomers"/>
    <n v="4"/>
  </r>
  <r>
    <s v="CUST0079"/>
    <s v="Richard Bennett"/>
    <x v="0"/>
    <n v="22"/>
    <x v="0"/>
    <x v="4"/>
    <n v="132217"/>
    <x v="1"/>
    <d v="2022-01-04T00:00:00"/>
    <x v="2"/>
    <n v="4"/>
    <x v="1"/>
    <x v="1"/>
    <x v="8"/>
    <s v="Gen Z"/>
    <n v="1"/>
  </r>
  <r>
    <s v="CUST0080"/>
    <s v="Kevin Young"/>
    <x v="1"/>
    <n v="56"/>
    <x v="2"/>
    <x v="5"/>
    <n v="61873"/>
    <x v="1"/>
    <d v="2018-04-10T00:00:00"/>
    <x v="1"/>
    <n v="8"/>
    <x v="2"/>
    <x v="2"/>
    <x v="2"/>
    <s v="Gen X"/>
    <n v="3"/>
  </r>
  <r>
    <s v="CUST0081"/>
    <s v="Taylor Perkins"/>
    <x v="0"/>
    <n v="21"/>
    <x v="2"/>
    <x v="6"/>
    <n v="126532"/>
    <x v="0"/>
    <d v="2023-03-26T00:00:00"/>
    <x v="2"/>
    <n v="3"/>
    <x v="0"/>
    <x v="1"/>
    <x v="0"/>
    <s v="Gen Z"/>
    <n v="1"/>
  </r>
  <r>
    <s v="CUST0082"/>
    <s v="Marcus Miller"/>
    <x v="1"/>
    <n v="23"/>
    <x v="2"/>
    <x v="1"/>
    <n v="146267"/>
    <x v="2"/>
    <d v="2025-05-14T00:00:00"/>
    <x v="2"/>
    <n v="1"/>
    <x v="3"/>
    <x v="1"/>
    <x v="7"/>
    <s v="Gen Z"/>
    <n v="1"/>
  </r>
  <r>
    <s v="CUST0083"/>
    <s v="Joseph Burns"/>
    <x v="0"/>
    <n v="62"/>
    <x v="0"/>
    <x v="4"/>
    <n v="160975"/>
    <x v="0"/>
    <d v="2021-04-16T00:00:00"/>
    <x v="3"/>
    <n v="5"/>
    <x v="1"/>
    <x v="0"/>
    <x v="1"/>
    <s v="Boomers"/>
    <n v="4"/>
  </r>
  <r>
    <s v="CUST0084"/>
    <s v="Carlos Watson"/>
    <x v="1"/>
    <n v="49"/>
    <x v="3"/>
    <x v="3"/>
    <n v="154092"/>
    <x v="2"/>
    <d v="2021-04-02T00:00:00"/>
    <x v="1"/>
    <n v="5"/>
    <x v="1"/>
    <x v="0"/>
    <x v="1"/>
    <s v="Gen X"/>
    <n v="3"/>
  </r>
  <r>
    <s v="CUST0085"/>
    <s v="John Ruiz"/>
    <x v="0"/>
    <n v="69"/>
    <x v="3"/>
    <x v="5"/>
    <n v="61755"/>
    <x v="0"/>
    <d v="2020-01-08T00:00:00"/>
    <x v="3"/>
    <n v="6"/>
    <x v="1"/>
    <x v="2"/>
    <x v="9"/>
    <s v="Boomers"/>
    <n v="4"/>
  </r>
  <r>
    <s v="CUST0086"/>
    <s v="Ashley Lewis"/>
    <x v="0"/>
    <n v="47"/>
    <x v="0"/>
    <x v="5"/>
    <n v="105956"/>
    <x v="0"/>
    <d v="2021-03-30T00:00:00"/>
    <x v="1"/>
    <n v="5"/>
    <x v="1"/>
    <x v="1"/>
    <x v="1"/>
    <s v="Gen X"/>
    <n v="3"/>
  </r>
  <r>
    <s v="CUST0087"/>
    <s v="Jack Coleman"/>
    <x v="1"/>
    <n v="64"/>
    <x v="3"/>
    <x v="3"/>
    <n v="106988"/>
    <x v="0"/>
    <d v="2025-06-03T00:00:00"/>
    <x v="3"/>
    <n v="1"/>
    <x v="3"/>
    <x v="1"/>
    <x v="7"/>
    <s v="Boomers"/>
    <n v="4"/>
  </r>
  <r>
    <s v="CUST0088"/>
    <s v="Amanda Hall"/>
    <x v="0"/>
    <n v="52"/>
    <x v="0"/>
    <x v="6"/>
    <n v="65648"/>
    <x v="0"/>
    <d v="2019-10-06T00:00:00"/>
    <x v="1"/>
    <n v="6"/>
    <x v="1"/>
    <x v="2"/>
    <x v="6"/>
    <s v="Gen X"/>
    <n v="3"/>
  </r>
  <r>
    <s v="CUST0089"/>
    <s v="Elizabeth Brown"/>
    <x v="1"/>
    <n v="72"/>
    <x v="3"/>
    <x v="0"/>
    <n v="145991"/>
    <x v="0"/>
    <d v="2021-01-09T00:00:00"/>
    <x v="3"/>
    <n v="5"/>
    <x v="1"/>
    <x v="1"/>
    <x v="1"/>
    <s v="Boomers"/>
    <n v="4"/>
  </r>
  <r>
    <s v="CUST0090"/>
    <s v="Edward Ramirez"/>
    <x v="1"/>
    <n v="57"/>
    <x v="1"/>
    <x v="4"/>
    <n v="160588"/>
    <x v="0"/>
    <d v="2015-08-23T00:00:00"/>
    <x v="1"/>
    <n v="10"/>
    <x v="2"/>
    <x v="0"/>
    <x v="10"/>
    <s v="Gen X"/>
    <n v="3"/>
  </r>
  <r>
    <s v="CUST0091"/>
    <s v="Christopher Smith"/>
    <x v="1"/>
    <n v="69"/>
    <x v="1"/>
    <x v="2"/>
    <n v="135005"/>
    <x v="1"/>
    <d v="2022-08-02T00:00:00"/>
    <x v="3"/>
    <n v="3"/>
    <x v="0"/>
    <x v="1"/>
    <x v="8"/>
    <s v="Boomers"/>
    <n v="4"/>
  </r>
  <r>
    <s v="CUST0092"/>
    <s v="Amanda Nelson"/>
    <x v="1"/>
    <n v="33"/>
    <x v="2"/>
    <x v="1"/>
    <n v="22396"/>
    <x v="0"/>
    <d v="2016-06-10T00:00:00"/>
    <x v="0"/>
    <n v="10"/>
    <x v="2"/>
    <x v="2"/>
    <x v="3"/>
    <s v="Millenials"/>
    <n v="2"/>
  </r>
  <r>
    <s v="CUST0093"/>
    <s v="Miguel Rodriguez"/>
    <x v="1"/>
    <n v="30"/>
    <x v="1"/>
    <x v="2"/>
    <n v="104082"/>
    <x v="0"/>
    <d v="2018-01-02T00:00:00"/>
    <x v="0"/>
    <n v="8"/>
    <x v="2"/>
    <x v="1"/>
    <x v="2"/>
    <s v="Millenials"/>
    <n v="2"/>
  </r>
  <r>
    <s v="CUST0094"/>
    <s v="Timothy Gutierrez"/>
    <x v="1"/>
    <n v="67"/>
    <x v="1"/>
    <x v="3"/>
    <n v="170201"/>
    <x v="1"/>
    <d v="2023-11-04T00:00:00"/>
    <x v="3"/>
    <n v="2"/>
    <x v="0"/>
    <x v="0"/>
    <x v="0"/>
    <s v="Boomers"/>
    <n v="4"/>
  </r>
  <r>
    <s v="CUST0095"/>
    <s v="Christopher Miller"/>
    <x v="1"/>
    <n v="59"/>
    <x v="1"/>
    <x v="5"/>
    <n v="148322"/>
    <x v="1"/>
    <d v="2021-07-04T00:00:00"/>
    <x v="1"/>
    <n v="5"/>
    <x v="1"/>
    <x v="1"/>
    <x v="1"/>
    <s v="Gen X"/>
    <n v="3"/>
  </r>
  <r>
    <s v="CUST0096"/>
    <s v="Scott Bailey"/>
    <x v="1"/>
    <n v="47"/>
    <x v="0"/>
    <x v="6"/>
    <n v="152663"/>
    <x v="0"/>
    <d v="2017-08-29T00:00:00"/>
    <x v="1"/>
    <n v="8"/>
    <x v="2"/>
    <x v="0"/>
    <x v="4"/>
    <s v="Gen X"/>
    <n v="3"/>
  </r>
  <r>
    <s v="CUST0097"/>
    <s v="Danielle Newman"/>
    <x v="1"/>
    <n v="36"/>
    <x v="1"/>
    <x v="5"/>
    <n v="31303"/>
    <x v="0"/>
    <d v="2017-12-22T00:00:00"/>
    <x v="0"/>
    <n v="8"/>
    <x v="2"/>
    <x v="2"/>
    <x v="4"/>
    <s v="Millenials"/>
    <n v="2"/>
  </r>
  <r>
    <s v="CUST0098"/>
    <s v="Jeremy Jones"/>
    <x v="1"/>
    <n v="34"/>
    <x v="1"/>
    <x v="1"/>
    <n v="181633"/>
    <x v="0"/>
    <d v="2023-06-22T00:00:00"/>
    <x v="0"/>
    <n v="3"/>
    <x v="0"/>
    <x v="0"/>
    <x v="0"/>
    <s v="Millenials"/>
    <n v="2"/>
  </r>
  <r>
    <s v="CUST0099"/>
    <s v="Alexis Avila"/>
    <x v="1"/>
    <n v="73"/>
    <x v="2"/>
    <x v="5"/>
    <n v="91719"/>
    <x v="0"/>
    <d v="2020-11-19T00:00:00"/>
    <x v="3"/>
    <n v="5"/>
    <x v="1"/>
    <x v="2"/>
    <x v="9"/>
    <s v="Boomers"/>
    <n v="4"/>
  </r>
  <r>
    <s v="CUST0100"/>
    <s v="Leslie Buchanan"/>
    <x v="0"/>
    <n v="36"/>
    <x v="1"/>
    <x v="5"/>
    <n v="119616"/>
    <x v="1"/>
    <d v="2023-01-16T00:00:00"/>
    <x v="0"/>
    <n v="3"/>
    <x v="0"/>
    <x v="1"/>
    <x v="0"/>
    <s v="Millenials"/>
    <n v="2"/>
  </r>
  <r>
    <s v="CUST0101"/>
    <s v="Robert Wright"/>
    <x v="0"/>
    <n v="45"/>
    <x v="1"/>
    <x v="1"/>
    <n v="144165"/>
    <x v="0"/>
    <d v="2020-07-06T00:00:00"/>
    <x v="1"/>
    <n v="5"/>
    <x v="1"/>
    <x v="1"/>
    <x v="9"/>
    <s v="Gen X"/>
    <n v="3"/>
  </r>
  <r>
    <s v="CUST0102"/>
    <s v="Patrick Moore"/>
    <x v="1"/>
    <n v="72"/>
    <x v="3"/>
    <x v="4"/>
    <n v="106231"/>
    <x v="0"/>
    <d v="2021-12-30T00:00:00"/>
    <x v="3"/>
    <n v="4"/>
    <x v="1"/>
    <x v="1"/>
    <x v="1"/>
    <s v="Boomers"/>
    <n v="4"/>
  </r>
  <r>
    <s v="CUST0103"/>
    <s v="Donna Perkins"/>
    <x v="1"/>
    <n v="43"/>
    <x v="2"/>
    <x v="4"/>
    <n v="27314"/>
    <x v="1"/>
    <d v="2022-05-25T00:00:00"/>
    <x v="0"/>
    <n v="4"/>
    <x v="1"/>
    <x v="2"/>
    <x v="8"/>
    <s v="Millenials"/>
    <n v="2"/>
  </r>
  <r>
    <s v="CUST0104"/>
    <s v="Matthew Palmer"/>
    <x v="1"/>
    <n v="54"/>
    <x v="2"/>
    <x v="1"/>
    <n v="39623"/>
    <x v="0"/>
    <d v="2016-10-02T00:00:00"/>
    <x v="1"/>
    <n v="9"/>
    <x v="2"/>
    <x v="2"/>
    <x v="3"/>
    <s v="Gen X"/>
    <n v="3"/>
  </r>
  <r>
    <s v="CUST0105"/>
    <s v="Eric Mayer"/>
    <x v="1"/>
    <n v="43"/>
    <x v="2"/>
    <x v="6"/>
    <n v="125228"/>
    <x v="0"/>
    <d v="2025-04-01T00:00:00"/>
    <x v="0"/>
    <n v="1"/>
    <x v="3"/>
    <x v="1"/>
    <x v="7"/>
    <s v="Millenials"/>
    <n v="2"/>
  </r>
  <r>
    <s v="CUST0106"/>
    <s v="Linda Lopez"/>
    <x v="1"/>
    <n v="70"/>
    <x v="2"/>
    <x v="3"/>
    <n v="184202"/>
    <x v="0"/>
    <d v="2017-07-24T00:00:00"/>
    <x v="3"/>
    <n v="8"/>
    <x v="2"/>
    <x v="0"/>
    <x v="4"/>
    <s v="Boomers"/>
    <n v="4"/>
  </r>
  <r>
    <s v="CUST0107"/>
    <s v="Andrew Flynn"/>
    <x v="1"/>
    <n v="40"/>
    <x v="2"/>
    <x v="5"/>
    <n v="117624"/>
    <x v="2"/>
    <d v="2025-03-04T00:00:00"/>
    <x v="0"/>
    <n v="1"/>
    <x v="3"/>
    <x v="1"/>
    <x v="7"/>
    <s v="Millenials"/>
    <n v="2"/>
  </r>
  <r>
    <s v="CUST0108"/>
    <s v="Carmen Graham"/>
    <x v="1"/>
    <n v="26"/>
    <x v="2"/>
    <x v="6"/>
    <n v="177364"/>
    <x v="0"/>
    <d v="2021-01-28T00:00:00"/>
    <x v="2"/>
    <n v="5"/>
    <x v="1"/>
    <x v="0"/>
    <x v="1"/>
    <s v="Gen Z"/>
    <n v="1"/>
  </r>
  <r>
    <s v="CUST0109"/>
    <s v="Emily Scott"/>
    <x v="1"/>
    <n v="29"/>
    <x v="0"/>
    <x v="5"/>
    <n v="131785"/>
    <x v="1"/>
    <d v="2020-09-03T00:00:00"/>
    <x v="0"/>
    <n v="5"/>
    <x v="1"/>
    <x v="1"/>
    <x v="9"/>
    <s v="Millenials"/>
    <n v="2"/>
  </r>
  <r>
    <s v="CUST0110"/>
    <s v="Jose Decker"/>
    <x v="0"/>
    <n v="70"/>
    <x v="1"/>
    <x v="3"/>
    <n v="106206"/>
    <x v="0"/>
    <d v="2018-06-05T00:00:00"/>
    <x v="3"/>
    <n v="8"/>
    <x v="2"/>
    <x v="1"/>
    <x v="2"/>
    <s v="Boomers"/>
    <n v="4"/>
  </r>
  <r>
    <s v="CUST0111"/>
    <s v="Anita White"/>
    <x v="1"/>
    <n v="18"/>
    <x v="2"/>
    <x v="4"/>
    <n v="89274"/>
    <x v="0"/>
    <d v="2019-07-11T00:00:00"/>
    <x v="2"/>
    <n v="6"/>
    <x v="1"/>
    <x v="2"/>
    <x v="6"/>
    <s v="Gen Z"/>
    <n v="1"/>
  </r>
  <r>
    <s v="CUST0112"/>
    <s v="Daniel Adams"/>
    <x v="0"/>
    <n v="18"/>
    <x v="1"/>
    <x v="6"/>
    <n v="153541"/>
    <x v="1"/>
    <d v="2020-04-10T00:00:00"/>
    <x v="2"/>
    <n v="6"/>
    <x v="1"/>
    <x v="0"/>
    <x v="9"/>
    <s v="Gen Z"/>
    <n v="1"/>
  </r>
  <r>
    <s v="CUST0113"/>
    <s v="Anthony Ramos"/>
    <x v="1"/>
    <n v="64"/>
    <x v="1"/>
    <x v="0"/>
    <n v="73947"/>
    <x v="2"/>
    <d v="2016-03-16T00:00:00"/>
    <x v="3"/>
    <n v="10"/>
    <x v="2"/>
    <x v="2"/>
    <x v="3"/>
    <s v="Boomers"/>
    <n v="4"/>
  </r>
  <r>
    <s v="CUST0114"/>
    <s v="Megan Proctor"/>
    <x v="1"/>
    <n v="51"/>
    <x v="0"/>
    <x v="0"/>
    <n v="173606"/>
    <x v="1"/>
    <d v="2019-07-12T00:00:00"/>
    <x v="1"/>
    <n v="6"/>
    <x v="1"/>
    <x v="0"/>
    <x v="6"/>
    <s v="Gen X"/>
    <n v="3"/>
  </r>
  <r>
    <s v="CUST0115"/>
    <s v="Sarah Guzman"/>
    <x v="0"/>
    <n v="49"/>
    <x v="2"/>
    <x v="0"/>
    <n v="68874"/>
    <x v="1"/>
    <d v="2024-08-28T00:00:00"/>
    <x v="1"/>
    <n v="1"/>
    <x v="3"/>
    <x v="2"/>
    <x v="5"/>
    <s v="Gen X"/>
    <n v="3"/>
  </r>
  <r>
    <s v="CUST0116"/>
    <s v="Guy Hughes"/>
    <x v="1"/>
    <n v="71"/>
    <x v="3"/>
    <x v="4"/>
    <n v="69708"/>
    <x v="1"/>
    <d v="2025-05-20T00:00:00"/>
    <x v="3"/>
    <n v="1"/>
    <x v="3"/>
    <x v="2"/>
    <x v="7"/>
    <s v="Boomers"/>
    <n v="4"/>
  </r>
  <r>
    <s v="CUST0117"/>
    <s v="Heidi Sharp"/>
    <x v="0"/>
    <n v="65"/>
    <x v="0"/>
    <x v="4"/>
    <n v="94553"/>
    <x v="0"/>
    <d v="2025-02-18T00:00:00"/>
    <x v="3"/>
    <n v="1"/>
    <x v="3"/>
    <x v="2"/>
    <x v="7"/>
    <s v="Boomers"/>
    <n v="4"/>
  </r>
  <r>
    <s v="CUST0118"/>
    <s v="Shawn Randolph"/>
    <x v="1"/>
    <n v="42"/>
    <x v="3"/>
    <x v="3"/>
    <n v="88344"/>
    <x v="0"/>
    <d v="2025-03-04T00:00:00"/>
    <x v="0"/>
    <n v="1"/>
    <x v="3"/>
    <x v="2"/>
    <x v="7"/>
    <s v="Millenials"/>
    <n v="2"/>
  </r>
  <r>
    <s v="CUST0119"/>
    <s v="Valerie Kelley"/>
    <x v="1"/>
    <n v="57"/>
    <x v="1"/>
    <x v="5"/>
    <n v="69138"/>
    <x v="1"/>
    <d v="2019-12-22T00:00:00"/>
    <x v="1"/>
    <n v="6"/>
    <x v="1"/>
    <x v="2"/>
    <x v="6"/>
    <s v="Gen X"/>
    <n v="3"/>
  </r>
  <r>
    <s v="CUST0120"/>
    <s v="Sherri Webb"/>
    <x v="0"/>
    <n v="62"/>
    <x v="1"/>
    <x v="3"/>
    <n v="67638"/>
    <x v="0"/>
    <d v="2019-03-31T00:00:00"/>
    <x v="3"/>
    <n v="7"/>
    <x v="1"/>
    <x v="2"/>
    <x v="6"/>
    <s v="Boomers"/>
    <n v="4"/>
  </r>
  <r>
    <s v="CUST0121"/>
    <s v="Mary Cole"/>
    <x v="1"/>
    <n v="70"/>
    <x v="0"/>
    <x v="3"/>
    <n v="98249"/>
    <x v="1"/>
    <d v="2023-06-17T00:00:00"/>
    <x v="3"/>
    <n v="3"/>
    <x v="0"/>
    <x v="2"/>
    <x v="0"/>
    <s v="Boomers"/>
    <n v="4"/>
  </r>
  <r>
    <s v="CUST0122"/>
    <s v="Mariah Hernandez"/>
    <x v="0"/>
    <n v="18"/>
    <x v="0"/>
    <x v="4"/>
    <n v="125865"/>
    <x v="2"/>
    <d v="2015-09-23T00:00:00"/>
    <x v="2"/>
    <n v="10"/>
    <x v="2"/>
    <x v="1"/>
    <x v="10"/>
    <s v="Gen Z"/>
    <n v="1"/>
  </r>
  <r>
    <s v="CUST0123"/>
    <s v="Kerry Frazier"/>
    <x v="1"/>
    <n v="33"/>
    <x v="3"/>
    <x v="0"/>
    <n v="22719"/>
    <x v="0"/>
    <d v="2017-07-05T00:00:00"/>
    <x v="0"/>
    <n v="9"/>
    <x v="2"/>
    <x v="2"/>
    <x v="4"/>
    <s v="Millenials"/>
    <n v="2"/>
  </r>
  <r>
    <s v="CUST0124"/>
    <s v="David Smith"/>
    <x v="0"/>
    <n v="56"/>
    <x v="2"/>
    <x v="2"/>
    <n v="173962"/>
    <x v="0"/>
    <d v="2022-07-10T00:00:00"/>
    <x v="1"/>
    <n v="3"/>
    <x v="0"/>
    <x v="0"/>
    <x v="8"/>
    <s v="Gen X"/>
    <n v="3"/>
  </r>
  <r>
    <s v="CUST0125"/>
    <s v="Juan Rodriguez"/>
    <x v="0"/>
    <n v="22"/>
    <x v="3"/>
    <x v="5"/>
    <n v="187581"/>
    <x v="1"/>
    <d v="2017-01-19T00:00:00"/>
    <x v="2"/>
    <n v="9"/>
    <x v="2"/>
    <x v="0"/>
    <x v="4"/>
    <s v="Gen Z"/>
    <n v="1"/>
  </r>
  <r>
    <s v="CUST0126"/>
    <s v="Jessica Walker"/>
    <x v="1"/>
    <n v="39"/>
    <x v="0"/>
    <x v="4"/>
    <n v="62534"/>
    <x v="0"/>
    <d v="2020-03-01T00:00:00"/>
    <x v="0"/>
    <n v="6"/>
    <x v="1"/>
    <x v="2"/>
    <x v="9"/>
    <s v="Millenials"/>
    <n v="2"/>
  </r>
  <r>
    <s v="CUST0127"/>
    <s v="Jennifer Watkins DDS"/>
    <x v="1"/>
    <n v="46"/>
    <x v="3"/>
    <x v="0"/>
    <n v="112241"/>
    <x v="1"/>
    <d v="2016-01-05T00:00:00"/>
    <x v="1"/>
    <n v="10"/>
    <x v="2"/>
    <x v="1"/>
    <x v="3"/>
    <s v="Gen X"/>
    <n v="3"/>
  </r>
  <r>
    <s v="CUST0128"/>
    <s v="Jessica Ward"/>
    <x v="0"/>
    <n v="72"/>
    <x v="0"/>
    <x v="6"/>
    <n v="169859"/>
    <x v="0"/>
    <d v="2023-04-23T00:00:00"/>
    <x v="3"/>
    <n v="3"/>
    <x v="0"/>
    <x v="0"/>
    <x v="0"/>
    <s v="Boomers"/>
    <n v="4"/>
  </r>
  <r>
    <s v="CUST0129"/>
    <s v="Jeanette Greene"/>
    <x v="1"/>
    <n v="20"/>
    <x v="3"/>
    <x v="2"/>
    <n v="146209"/>
    <x v="1"/>
    <d v="2019-02-21T00:00:00"/>
    <x v="2"/>
    <n v="7"/>
    <x v="1"/>
    <x v="1"/>
    <x v="6"/>
    <s v="Gen Z"/>
    <n v="1"/>
  </r>
  <r>
    <s v="CUST0130"/>
    <s v="Michael Jensen"/>
    <x v="1"/>
    <n v="29"/>
    <x v="0"/>
    <x v="2"/>
    <n v="199917"/>
    <x v="0"/>
    <d v="2024-07-25T00:00:00"/>
    <x v="0"/>
    <n v="1"/>
    <x v="3"/>
    <x v="0"/>
    <x v="5"/>
    <s v="Millenials"/>
    <n v="2"/>
  </r>
  <r>
    <s v="CUST0131"/>
    <s v="Michael Velasquez"/>
    <x v="1"/>
    <n v="43"/>
    <x v="0"/>
    <x v="4"/>
    <n v="112124"/>
    <x v="1"/>
    <d v="2020-05-04T00:00:00"/>
    <x v="0"/>
    <n v="6"/>
    <x v="1"/>
    <x v="1"/>
    <x v="9"/>
    <s v="Millenials"/>
    <n v="2"/>
  </r>
  <r>
    <s v="CUST0132"/>
    <s v="Kendra Diaz"/>
    <x v="0"/>
    <n v="33"/>
    <x v="0"/>
    <x v="1"/>
    <n v="111659"/>
    <x v="0"/>
    <d v="2018-02-12T00:00:00"/>
    <x v="0"/>
    <n v="8"/>
    <x v="2"/>
    <x v="1"/>
    <x v="2"/>
    <s v="Millenials"/>
    <n v="2"/>
  </r>
  <r>
    <s v="CUST0133"/>
    <s v="Lydia Ford"/>
    <x v="0"/>
    <n v="68"/>
    <x v="2"/>
    <x v="5"/>
    <n v="184134"/>
    <x v="0"/>
    <d v="2021-09-15T00:00:00"/>
    <x v="3"/>
    <n v="4"/>
    <x v="1"/>
    <x v="0"/>
    <x v="1"/>
    <s v="Boomers"/>
    <n v="4"/>
  </r>
  <r>
    <s v="CUST0134"/>
    <s v="Sherry Guerrero"/>
    <x v="0"/>
    <n v="54"/>
    <x v="3"/>
    <x v="2"/>
    <n v="95713"/>
    <x v="0"/>
    <d v="2018-07-21T00:00:00"/>
    <x v="1"/>
    <n v="7"/>
    <x v="1"/>
    <x v="2"/>
    <x v="2"/>
    <s v="Gen X"/>
    <n v="3"/>
  </r>
  <r>
    <s v="CUST0135"/>
    <s v="Dr. Sarah Perez"/>
    <x v="0"/>
    <n v="39"/>
    <x v="3"/>
    <x v="4"/>
    <n v="95418"/>
    <x v="1"/>
    <d v="2018-06-11T00:00:00"/>
    <x v="0"/>
    <n v="8"/>
    <x v="2"/>
    <x v="2"/>
    <x v="2"/>
    <s v="Millenials"/>
    <n v="2"/>
  </r>
  <r>
    <s v="CUST0136"/>
    <s v="Andrea Taylor"/>
    <x v="0"/>
    <n v="74"/>
    <x v="3"/>
    <x v="4"/>
    <n v="148232"/>
    <x v="1"/>
    <d v="2024-05-27T00:00:00"/>
    <x v="3"/>
    <n v="2"/>
    <x v="0"/>
    <x v="1"/>
    <x v="5"/>
    <s v="Boomers"/>
    <n v="4"/>
  </r>
  <r>
    <s v="CUST0137"/>
    <s v="Jamie Perry"/>
    <x v="0"/>
    <n v="46"/>
    <x v="0"/>
    <x v="0"/>
    <n v="185904"/>
    <x v="0"/>
    <d v="2019-05-09T00:00:00"/>
    <x v="1"/>
    <n v="7"/>
    <x v="1"/>
    <x v="0"/>
    <x v="6"/>
    <s v="Gen X"/>
    <n v="3"/>
  </r>
  <r>
    <s v="CUST0138"/>
    <s v="Jacqueline Murphy"/>
    <x v="0"/>
    <n v="31"/>
    <x v="3"/>
    <x v="6"/>
    <n v="183038"/>
    <x v="0"/>
    <d v="2017-03-23T00:00:00"/>
    <x v="0"/>
    <n v="9"/>
    <x v="2"/>
    <x v="0"/>
    <x v="4"/>
    <s v="Millenials"/>
    <n v="2"/>
  </r>
  <r>
    <s v="CUST0139"/>
    <s v="Julie Lynch"/>
    <x v="0"/>
    <n v="45"/>
    <x v="3"/>
    <x v="1"/>
    <n v="164059"/>
    <x v="0"/>
    <d v="2024-11-23T00:00:00"/>
    <x v="1"/>
    <n v="1"/>
    <x v="3"/>
    <x v="0"/>
    <x v="5"/>
    <s v="Gen X"/>
    <n v="3"/>
  </r>
  <r>
    <s v="CUST0140"/>
    <s v="Corey Wilson"/>
    <x v="0"/>
    <n v="22"/>
    <x v="0"/>
    <x v="5"/>
    <n v="188383"/>
    <x v="1"/>
    <d v="2018-09-28T00:00:00"/>
    <x v="2"/>
    <n v="7"/>
    <x v="1"/>
    <x v="0"/>
    <x v="2"/>
    <s v="Gen Z"/>
    <n v="1"/>
  </r>
  <r>
    <s v="CUST0141"/>
    <s v="Nicole Huynh"/>
    <x v="1"/>
    <n v="64"/>
    <x v="1"/>
    <x v="3"/>
    <n v="51575"/>
    <x v="1"/>
    <d v="2018-08-14T00:00:00"/>
    <x v="3"/>
    <n v="7"/>
    <x v="1"/>
    <x v="2"/>
    <x v="2"/>
    <s v="Boomers"/>
    <n v="4"/>
  </r>
  <r>
    <s v="CUST0142"/>
    <s v="Charles Chapman"/>
    <x v="0"/>
    <n v="66"/>
    <x v="0"/>
    <x v="6"/>
    <n v="83852"/>
    <x v="0"/>
    <d v="2024-09-25T00:00:00"/>
    <x v="3"/>
    <n v="1"/>
    <x v="3"/>
    <x v="2"/>
    <x v="5"/>
    <s v="Boomers"/>
    <n v="4"/>
  </r>
  <r>
    <s v="CUST0143"/>
    <s v="Jamie Spencer"/>
    <x v="1"/>
    <n v="47"/>
    <x v="3"/>
    <x v="6"/>
    <n v="152079"/>
    <x v="0"/>
    <d v="2021-11-28T00:00:00"/>
    <x v="1"/>
    <n v="4"/>
    <x v="1"/>
    <x v="0"/>
    <x v="1"/>
    <s v="Gen X"/>
    <n v="3"/>
  </r>
  <r>
    <s v="CUST0144"/>
    <s v="Philip Ochoa"/>
    <x v="1"/>
    <n v="63"/>
    <x v="0"/>
    <x v="0"/>
    <n v="96242"/>
    <x v="0"/>
    <d v="2017-12-15T00:00:00"/>
    <x v="3"/>
    <n v="8"/>
    <x v="2"/>
    <x v="2"/>
    <x v="4"/>
    <s v="Boomers"/>
    <n v="4"/>
  </r>
  <r>
    <s v="CUST0145"/>
    <s v="Albert Jones"/>
    <x v="1"/>
    <n v="69"/>
    <x v="1"/>
    <x v="2"/>
    <n v="198589"/>
    <x v="0"/>
    <d v="2019-05-03T00:00:00"/>
    <x v="3"/>
    <n v="7"/>
    <x v="1"/>
    <x v="0"/>
    <x v="6"/>
    <s v="Boomers"/>
    <n v="4"/>
  </r>
  <r>
    <s v="CUST0146"/>
    <s v="Veronica Mullins"/>
    <x v="0"/>
    <n v="22"/>
    <x v="0"/>
    <x v="2"/>
    <n v="49257"/>
    <x v="0"/>
    <d v="2020-07-17T00:00:00"/>
    <x v="2"/>
    <n v="5"/>
    <x v="1"/>
    <x v="2"/>
    <x v="9"/>
    <s v="Gen Z"/>
    <n v="1"/>
  </r>
  <r>
    <s v="CUST0147"/>
    <s v="Christina Wood"/>
    <x v="0"/>
    <n v="29"/>
    <x v="3"/>
    <x v="0"/>
    <n v="193279"/>
    <x v="2"/>
    <d v="2020-02-27T00:00:00"/>
    <x v="0"/>
    <n v="6"/>
    <x v="1"/>
    <x v="0"/>
    <x v="9"/>
    <s v="Millenials"/>
    <n v="2"/>
  </r>
  <r>
    <s v="CUST0148"/>
    <s v="Thomas Fowler"/>
    <x v="0"/>
    <n v="33"/>
    <x v="1"/>
    <x v="4"/>
    <n v="164353"/>
    <x v="0"/>
    <d v="2018-08-25T00:00:00"/>
    <x v="0"/>
    <n v="7"/>
    <x v="1"/>
    <x v="0"/>
    <x v="2"/>
    <s v="Millenials"/>
    <n v="2"/>
  </r>
  <r>
    <s v="CUST0149"/>
    <s v="Nicholas Hicks"/>
    <x v="0"/>
    <n v="43"/>
    <x v="2"/>
    <x v="2"/>
    <n v="81246"/>
    <x v="1"/>
    <d v="2022-11-28T00:00:00"/>
    <x v="0"/>
    <n v="3"/>
    <x v="0"/>
    <x v="2"/>
    <x v="8"/>
    <s v="Millenials"/>
    <n v="2"/>
  </r>
  <r>
    <s v="CUST0150"/>
    <s v="Abigail Allen"/>
    <x v="1"/>
    <n v="43"/>
    <x v="3"/>
    <x v="1"/>
    <n v="21435"/>
    <x v="0"/>
    <d v="2020-07-03T00:00:00"/>
    <x v="0"/>
    <n v="6"/>
    <x v="1"/>
    <x v="2"/>
    <x v="9"/>
    <s v="Millenials"/>
    <n v="2"/>
  </r>
  <r>
    <s v="CUST0151"/>
    <s v="Makayla Sawyer"/>
    <x v="0"/>
    <n v="65"/>
    <x v="1"/>
    <x v="5"/>
    <n v="111357"/>
    <x v="0"/>
    <d v="2020-04-28T00:00:00"/>
    <x v="3"/>
    <n v="6"/>
    <x v="1"/>
    <x v="1"/>
    <x v="9"/>
    <s v="Boomers"/>
    <n v="4"/>
  </r>
  <r>
    <s v="CUST0152"/>
    <s v="Eric Gomez"/>
    <x v="0"/>
    <n v="38"/>
    <x v="1"/>
    <x v="6"/>
    <n v="177732"/>
    <x v="1"/>
    <d v="2018-11-05T00:00:00"/>
    <x v="0"/>
    <n v="7"/>
    <x v="1"/>
    <x v="0"/>
    <x v="2"/>
    <s v="Millenials"/>
    <n v="2"/>
  </r>
  <r>
    <s v="CUST0153"/>
    <s v="Patrick Pope"/>
    <x v="0"/>
    <n v="56"/>
    <x v="2"/>
    <x v="6"/>
    <n v="156156"/>
    <x v="1"/>
    <d v="2015-12-27T00:00:00"/>
    <x v="1"/>
    <n v="10"/>
    <x v="2"/>
    <x v="0"/>
    <x v="10"/>
    <s v="Gen X"/>
    <n v="3"/>
  </r>
  <r>
    <s v="CUST0154"/>
    <s v="Kristen Ross"/>
    <x v="0"/>
    <n v="53"/>
    <x v="0"/>
    <x v="1"/>
    <n v="164579"/>
    <x v="2"/>
    <d v="2015-10-03T00:00:00"/>
    <x v="1"/>
    <n v="10"/>
    <x v="2"/>
    <x v="0"/>
    <x v="10"/>
    <s v="Gen X"/>
    <n v="3"/>
  </r>
  <r>
    <s v="CUST0155"/>
    <s v="James Ewing DDS"/>
    <x v="0"/>
    <n v="50"/>
    <x v="0"/>
    <x v="2"/>
    <n v="103807"/>
    <x v="0"/>
    <d v="2023-12-04T00:00:00"/>
    <x v="1"/>
    <n v="2"/>
    <x v="0"/>
    <x v="1"/>
    <x v="0"/>
    <s v="Gen X"/>
    <n v="3"/>
  </r>
  <r>
    <s v="CUST0156"/>
    <s v="Sara Morris"/>
    <x v="1"/>
    <n v="47"/>
    <x v="3"/>
    <x v="6"/>
    <n v="196611"/>
    <x v="0"/>
    <d v="2022-10-16T00:00:00"/>
    <x v="1"/>
    <n v="3"/>
    <x v="0"/>
    <x v="0"/>
    <x v="8"/>
    <s v="Gen X"/>
    <n v="3"/>
  </r>
  <r>
    <s v="CUST0157"/>
    <s v="Samantha Conway"/>
    <x v="0"/>
    <n v="54"/>
    <x v="2"/>
    <x v="3"/>
    <n v="135953"/>
    <x v="1"/>
    <d v="2018-03-13T00:00:00"/>
    <x v="1"/>
    <n v="8"/>
    <x v="2"/>
    <x v="1"/>
    <x v="2"/>
    <s v="Gen X"/>
    <n v="3"/>
  </r>
  <r>
    <s v="CUST0158"/>
    <s v="Michael Ward"/>
    <x v="1"/>
    <n v="40"/>
    <x v="0"/>
    <x v="5"/>
    <n v="158563"/>
    <x v="0"/>
    <d v="2025-04-27T00:00:00"/>
    <x v="0"/>
    <n v="1"/>
    <x v="3"/>
    <x v="0"/>
    <x v="7"/>
    <s v="Millenials"/>
    <n v="2"/>
  </r>
  <r>
    <s v="CUST0159"/>
    <s v="Stacey Poole"/>
    <x v="0"/>
    <n v="27"/>
    <x v="2"/>
    <x v="5"/>
    <n v="143797"/>
    <x v="0"/>
    <d v="2018-04-10T00:00:00"/>
    <x v="2"/>
    <n v="8"/>
    <x v="2"/>
    <x v="1"/>
    <x v="2"/>
    <s v="Gen Z"/>
    <n v="1"/>
  </r>
  <r>
    <s v="CUST0160"/>
    <s v="Rachel Rivera PhD"/>
    <x v="1"/>
    <n v="71"/>
    <x v="0"/>
    <x v="6"/>
    <n v="83888"/>
    <x v="0"/>
    <d v="2015-11-06T00:00:00"/>
    <x v="3"/>
    <n v="10"/>
    <x v="2"/>
    <x v="2"/>
    <x v="10"/>
    <s v="Boomers"/>
    <n v="4"/>
  </r>
  <r>
    <s v="CUST0161"/>
    <s v="David Sanders"/>
    <x v="0"/>
    <n v="22"/>
    <x v="1"/>
    <x v="0"/>
    <n v="93609"/>
    <x v="0"/>
    <d v="2021-02-25T00:00:00"/>
    <x v="2"/>
    <n v="5"/>
    <x v="1"/>
    <x v="2"/>
    <x v="1"/>
    <s v="Gen Z"/>
    <n v="1"/>
  </r>
  <r>
    <s v="CUST0162"/>
    <s v="Lauren Lutz"/>
    <x v="0"/>
    <n v="53"/>
    <x v="0"/>
    <x v="6"/>
    <n v="29077"/>
    <x v="1"/>
    <d v="2015-09-01T00:00:00"/>
    <x v="1"/>
    <n v="10"/>
    <x v="2"/>
    <x v="2"/>
    <x v="10"/>
    <s v="Gen X"/>
    <n v="3"/>
  </r>
  <r>
    <s v="CUST0163"/>
    <s v="Nathan Taylor"/>
    <x v="1"/>
    <n v="51"/>
    <x v="2"/>
    <x v="0"/>
    <n v="40953"/>
    <x v="0"/>
    <d v="2022-08-16T00:00:00"/>
    <x v="1"/>
    <n v="3"/>
    <x v="0"/>
    <x v="2"/>
    <x v="8"/>
    <s v="Gen X"/>
    <n v="3"/>
  </r>
  <r>
    <s v="CUST0164"/>
    <s v="Hannah Brown"/>
    <x v="1"/>
    <n v="69"/>
    <x v="1"/>
    <x v="6"/>
    <n v="134682"/>
    <x v="0"/>
    <d v="2021-03-02T00:00:00"/>
    <x v="3"/>
    <n v="5"/>
    <x v="1"/>
    <x v="1"/>
    <x v="1"/>
    <s v="Boomers"/>
    <n v="4"/>
  </r>
  <r>
    <s v="CUST0165"/>
    <s v="Jeffrey Golden"/>
    <x v="1"/>
    <n v="48"/>
    <x v="1"/>
    <x v="3"/>
    <n v="87889"/>
    <x v="0"/>
    <d v="2023-09-03T00:00:00"/>
    <x v="1"/>
    <n v="2"/>
    <x v="0"/>
    <x v="2"/>
    <x v="0"/>
    <s v="Gen X"/>
    <n v="3"/>
  </r>
  <r>
    <s v="CUST0166"/>
    <s v="Julian Thomas"/>
    <x v="0"/>
    <n v="27"/>
    <x v="1"/>
    <x v="4"/>
    <n v="174893"/>
    <x v="0"/>
    <d v="2016-03-02T00:00:00"/>
    <x v="2"/>
    <n v="10"/>
    <x v="2"/>
    <x v="0"/>
    <x v="3"/>
    <s v="Gen Z"/>
    <n v="1"/>
  </r>
  <r>
    <s v="CUST0167"/>
    <s v="Paula Brown"/>
    <x v="1"/>
    <n v="36"/>
    <x v="2"/>
    <x v="5"/>
    <n v="188639"/>
    <x v="0"/>
    <d v="2024-07-19T00:00:00"/>
    <x v="0"/>
    <n v="1"/>
    <x v="3"/>
    <x v="0"/>
    <x v="5"/>
    <s v="Millenials"/>
    <n v="2"/>
  </r>
  <r>
    <s v="CUST0168"/>
    <s v="Whitney Hampton"/>
    <x v="0"/>
    <n v="49"/>
    <x v="3"/>
    <x v="6"/>
    <n v="135374"/>
    <x v="0"/>
    <d v="2019-11-17T00:00:00"/>
    <x v="1"/>
    <n v="6"/>
    <x v="1"/>
    <x v="1"/>
    <x v="6"/>
    <s v="Gen X"/>
    <n v="3"/>
  </r>
  <r>
    <s v="CUST0169"/>
    <s v="Timothy Lyons"/>
    <x v="0"/>
    <n v="18"/>
    <x v="3"/>
    <x v="3"/>
    <n v="44860"/>
    <x v="0"/>
    <d v="2025-02-26T00:00:00"/>
    <x v="2"/>
    <n v="1"/>
    <x v="3"/>
    <x v="2"/>
    <x v="7"/>
    <s v="Gen Z"/>
    <n v="1"/>
  </r>
  <r>
    <s v="CUST0170"/>
    <s v="Mason Swanson"/>
    <x v="1"/>
    <n v="73"/>
    <x v="3"/>
    <x v="0"/>
    <n v="172267"/>
    <x v="1"/>
    <d v="2022-11-22T00:00:00"/>
    <x v="3"/>
    <n v="3"/>
    <x v="0"/>
    <x v="0"/>
    <x v="8"/>
    <s v="Boomers"/>
    <n v="4"/>
  </r>
  <r>
    <s v="CUST0171"/>
    <s v="Wendy Hull"/>
    <x v="1"/>
    <n v="22"/>
    <x v="2"/>
    <x v="0"/>
    <n v="97475"/>
    <x v="0"/>
    <d v="2016-06-11T00:00:00"/>
    <x v="2"/>
    <n v="10"/>
    <x v="2"/>
    <x v="2"/>
    <x v="3"/>
    <s v="Gen Z"/>
    <n v="1"/>
  </r>
  <r>
    <s v="CUST0172"/>
    <s v="Kevin Castillo"/>
    <x v="0"/>
    <n v="62"/>
    <x v="1"/>
    <x v="5"/>
    <n v="107266"/>
    <x v="0"/>
    <d v="2020-06-06T00:00:00"/>
    <x v="3"/>
    <n v="6"/>
    <x v="1"/>
    <x v="1"/>
    <x v="9"/>
    <s v="Boomers"/>
    <n v="4"/>
  </r>
  <r>
    <s v="CUST0173"/>
    <s v="David Wilson"/>
    <x v="0"/>
    <n v="21"/>
    <x v="3"/>
    <x v="1"/>
    <n v="172499"/>
    <x v="1"/>
    <d v="2021-11-01T00:00:00"/>
    <x v="2"/>
    <n v="4"/>
    <x v="1"/>
    <x v="0"/>
    <x v="1"/>
    <s v="Gen Z"/>
    <n v="1"/>
  </r>
  <r>
    <s v="CUST0174"/>
    <s v="Evan Holt"/>
    <x v="1"/>
    <n v="33"/>
    <x v="2"/>
    <x v="6"/>
    <n v="120732"/>
    <x v="1"/>
    <d v="2019-10-29T00:00:00"/>
    <x v="0"/>
    <n v="6"/>
    <x v="1"/>
    <x v="1"/>
    <x v="6"/>
    <s v="Millenials"/>
    <n v="2"/>
  </r>
  <r>
    <s v="CUST0175"/>
    <s v="Nancy Hoffman"/>
    <x v="1"/>
    <n v="41"/>
    <x v="3"/>
    <x v="2"/>
    <n v="47083"/>
    <x v="0"/>
    <d v="2017-11-07T00:00:00"/>
    <x v="0"/>
    <n v="8"/>
    <x v="2"/>
    <x v="2"/>
    <x v="4"/>
    <s v="Millenials"/>
    <n v="2"/>
  </r>
  <r>
    <s v="CUST0176"/>
    <s v="Barbara Fisher"/>
    <x v="1"/>
    <n v="33"/>
    <x v="0"/>
    <x v="0"/>
    <n v="77372"/>
    <x v="0"/>
    <d v="2015-10-15T00:00:00"/>
    <x v="0"/>
    <n v="10"/>
    <x v="2"/>
    <x v="2"/>
    <x v="10"/>
    <s v="Millenials"/>
    <n v="2"/>
  </r>
  <r>
    <s v="CUST0177"/>
    <s v="Chad Walsh"/>
    <x v="0"/>
    <n v="72"/>
    <x v="3"/>
    <x v="4"/>
    <n v="143786"/>
    <x v="0"/>
    <d v="2024-09-03T00:00:00"/>
    <x v="3"/>
    <n v="1"/>
    <x v="3"/>
    <x v="1"/>
    <x v="5"/>
    <s v="Boomers"/>
    <n v="4"/>
  </r>
  <r>
    <s v="CUST0178"/>
    <s v="Joseph Wiley"/>
    <x v="0"/>
    <n v="19"/>
    <x v="3"/>
    <x v="4"/>
    <n v="195136"/>
    <x v="1"/>
    <d v="2024-12-16T00:00:00"/>
    <x v="2"/>
    <n v="1"/>
    <x v="3"/>
    <x v="0"/>
    <x v="5"/>
    <s v="Gen Z"/>
    <n v="1"/>
  </r>
  <r>
    <s v="CUST0179"/>
    <s v="Deborah Fisher"/>
    <x v="0"/>
    <n v="66"/>
    <x v="1"/>
    <x v="0"/>
    <n v="27813"/>
    <x v="2"/>
    <d v="2017-03-09T00:00:00"/>
    <x v="3"/>
    <n v="9"/>
    <x v="2"/>
    <x v="2"/>
    <x v="4"/>
    <s v="Boomers"/>
    <n v="4"/>
  </r>
  <r>
    <s v="CUST0180"/>
    <s v="Krista Williams"/>
    <x v="0"/>
    <n v="45"/>
    <x v="2"/>
    <x v="1"/>
    <n v="51598"/>
    <x v="1"/>
    <d v="2025-02-16T00:00:00"/>
    <x v="1"/>
    <n v="1"/>
    <x v="3"/>
    <x v="2"/>
    <x v="7"/>
    <s v="Gen X"/>
    <n v="3"/>
  </r>
  <r>
    <s v="CUST0181"/>
    <s v="Terry Mercer"/>
    <x v="0"/>
    <n v="49"/>
    <x v="1"/>
    <x v="1"/>
    <n v="113106"/>
    <x v="0"/>
    <d v="2016-01-18T00:00:00"/>
    <x v="1"/>
    <n v="10"/>
    <x v="2"/>
    <x v="1"/>
    <x v="3"/>
    <s v="Gen X"/>
    <n v="3"/>
  </r>
  <r>
    <s v="CUST0182"/>
    <s v="Katie Padilla"/>
    <x v="0"/>
    <n v="44"/>
    <x v="1"/>
    <x v="3"/>
    <n v="47082"/>
    <x v="1"/>
    <d v="2025-07-05T00:00:00"/>
    <x v="0"/>
    <n v="0"/>
    <x v="3"/>
    <x v="2"/>
    <x v="7"/>
    <s v="Millenials"/>
    <n v="2"/>
  </r>
  <r>
    <s v="CUST0183"/>
    <s v="Victor Thomas"/>
    <x v="1"/>
    <n v="37"/>
    <x v="1"/>
    <x v="4"/>
    <n v="49241"/>
    <x v="0"/>
    <d v="2018-04-12T00:00:00"/>
    <x v="0"/>
    <n v="8"/>
    <x v="2"/>
    <x v="2"/>
    <x v="2"/>
    <s v="Millenials"/>
    <n v="2"/>
  </r>
  <r>
    <s v="CUST0184"/>
    <s v="Christopher Willis"/>
    <x v="0"/>
    <n v="41"/>
    <x v="1"/>
    <x v="3"/>
    <n v="195641"/>
    <x v="0"/>
    <d v="2022-08-02T00:00:00"/>
    <x v="0"/>
    <n v="3"/>
    <x v="0"/>
    <x v="0"/>
    <x v="8"/>
    <s v="Millenials"/>
    <n v="2"/>
  </r>
  <r>
    <s v="CUST0185"/>
    <s v="Laura Watkins"/>
    <x v="0"/>
    <n v="29"/>
    <x v="1"/>
    <x v="4"/>
    <n v="31745"/>
    <x v="0"/>
    <d v="2024-05-10T00:00:00"/>
    <x v="0"/>
    <n v="2"/>
    <x v="0"/>
    <x v="2"/>
    <x v="5"/>
    <s v="Millenials"/>
    <n v="2"/>
  </r>
  <r>
    <s v="CUST0186"/>
    <s v="Eric Lopez"/>
    <x v="0"/>
    <n v="67"/>
    <x v="3"/>
    <x v="6"/>
    <n v="46029"/>
    <x v="2"/>
    <d v="2017-05-26T00:00:00"/>
    <x v="3"/>
    <n v="9"/>
    <x v="2"/>
    <x v="2"/>
    <x v="4"/>
    <s v="Boomers"/>
    <n v="4"/>
  </r>
  <r>
    <s v="CUST0187"/>
    <s v="Jillian Rangel"/>
    <x v="1"/>
    <n v="52"/>
    <x v="1"/>
    <x v="6"/>
    <n v="164097"/>
    <x v="0"/>
    <d v="2023-06-24T00:00:00"/>
    <x v="1"/>
    <n v="3"/>
    <x v="0"/>
    <x v="0"/>
    <x v="0"/>
    <s v="Gen X"/>
    <n v="3"/>
  </r>
  <r>
    <s v="CUST0188"/>
    <s v="Kristopher Fletcher"/>
    <x v="0"/>
    <n v="50"/>
    <x v="1"/>
    <x v="2"/>
    <n v="143395"/>
    <x v="1"/>
    <d v="2023-10-12T00:00:00"/>
    <x v="1"/>
    <n v="2"/>
    <x v="0"/>
    <x v="1"/>
    <x v="0"/>
    <s v="Gen X"/>
    <n v="3"/>
  </r>
  <r>
    <s v="CUST0189"/>
    <s v="Ryan Doyle"/>
    <x v="0"/>
    <n v="50"/>
    <x v="2"/>
    <x v="6"/>
    <n v="165360"/>
    <x v="0"/>
    <d v="2024-08-31T00:00:00"/>
    <x v="1"/>
    <n v="1"/>
    <x v="3"/>
    <x v="0"/>
    <x v="5"/>
    <s v="Gen X"/>
    <n v="3"/>
  </r>
  <r>
    <s v="CUST0190"/>
    <s v="Cesar Silva"/>
    <x v="1"/>
    <n v="68"/>
    <x v="0"/>
    <x v="2"/>
    <n v="109186"/>
    <x v="0"/>
    <d v="2017-09-30T00:00:00"/>
    <x v="3"/>
    <n v="8"/>
    <x v="2"/>
    <x v="1"/>
    <x v="4"/>
    <s v="Boomers"/>
    <n v="4"/>
  </r>
  <r>
    <s v="CUST0191"/>
    <s v="Nicholas Miller"/>
    <x v="0"/>
    <n v="60"/>
    <x v="3"/>
    <x v="6"/>
    <n v="157612"/>
    <x v="0"/>
    <d v="2019-11-11T00:00:00"/>
    <x v="1"/>
    <n v="6"/>
    <x v="1"/>
    <x v="0"/>
    <x v="6"/>
    <s v="Gen X"/>
    <n v="3"/>
  </r>
  <r>
    <s v="CUST0192"/>
    <s v="Kim Hubbard"/>
    <x v="0"/>
    <n v="54"/>
    <x v="3"/>
    <x v="5"/>
    <n v="117768"/>
    <x v="0"/>
    <d v="2025-08-22T00:00:00"/>
    <x v="1"/>
    <n v="0"/>
    <x v="3"/>
    <x v="1"/>
    <x v="7"/>
    <s v="Gen X"/>
    <n v="3"/>
  </r>
  <r>
    <s v="CUST0193"/>
    <s v="Robert Roberts"/>
    <x v="0"/>
    <n v="29"/>
    <x v="3"/>
    <x v="6"/>
    <n v="61846"/>
    <x v="1"/>
    <d v="2020-12-04T00:00:00"/>
    <x v="0"/>
    <n v="5"/>
    <x v="1"/>
    <x v="2"/>
    <x v="9"/>
    <s v="Millenials"/>
    <n v="2"/>
  </r>
  <r>
    <s v="CUST0194"/>
    <s v="Oscar Young"/>
    <x v="0"/>
    <n v="20"/>
    <x v="1"/>
    <x v="3"/>
    <n v="95932"/>
    <x v="0"/>
    <d v="2024-06-03T00:00:00"/>
    <x v="2"/>
    <n v="2"/>
    <x v="0"/>
    <x v="2"/>
    <x v="5"/>
    <s v="Gen Z"/>
    <n v="1"/>
  </r>
  <r>
    <s v="CUST0195"/>
    <s v="Mark Mckenzie"/>
    <x v="0"/>
    <n v="18"/>
    <x v="1"/>
    <x v="0"/>
    <n v="168554"/>
    <x v="1"/>
    <d v="2015-09-22T00:00:00"/>
    <x v="2"/>
    <n v="10"/>
    <x v="2"/>
    <x v="0"/>
    <x v="10"/>
    <s v="Gen Z"/>
    <n v="1"/>
  </r>
  <r>
    <s v="CUST0196"/>
    <s v="Victoria Montoya"/>
    <x v="1"/>
    <n v="50"/>
    <x v="1"/>
    <x v="3"/>
    <n v="43411"/>
    <x v="1"/>
    <d v="2019-05-27T00:00:00"/>
    <x v="1"/>
    <n v="7"/>
    <x v="1"/>
    <x v="2"/>
    <x v="6"/>
    <s v="Gen X"/>
    <n v="3"/>
  </r>
  <r>
    <s v="CUST0197"/>
    <s v="Evelyn Mendoza"/>
    <x v="1"/>
    <n v="57"/>
    <x v="2"/>
    <x v="0"/>
    <n v="98797"/>
    <x v="2"/>
    <d v="2016-02-02T00:00:00"/>
    <x v="1"/>
    <n v="10"/>
    <x v="2"/>
    <x v="2"/>
    <x v="3"/>
    <s v="Gen X"/>
    <n v="3"/>
  </r>
  <r>
    <s v="CUST0198"/>
    <s v="Sarah Santiago"/>
    <x v="1"/>
    <n v="27"/>
    <x v="0"/>
    <x v="1"/>
    <n v="72307"/>
    <x v="0"/>
    <d v="2020-04-24T00:00:00"/>
    <x v="2"/>
    <n v="6"/>
    <x v="1"/>
    <x v="2"/>
    <x v="9"/>
    <s v="Gen Z"/>
    <n v="1"/>
  </r>
  <r>
    <s v="CUST0199"/>
    <s v="Gerald Robinson"/>
    <x v="0"/>
    <n v="60"/>
    <x v="1"/>
    <x v="3"/>
    <n v="154165"/>
    <x v="0"/>
    <d v="2018-01-18T00:00:00"/>
    <x v="1"/>
    <n v="8"/>
    <x v="2"/>
    <x v="0"/>
    <x v="2"/>
    <s v="Gen X"/>
    <n v="3"/>
  </r>
  <r>
    <s v="CUST0200"/>
    <s v="Ryan Gill"/>
    <x v="0"/>
    <n v="61"/>
    <x v="0"/>
    <x v="1"/>
    <n v="42042"/>
    <x v="0"/>
    <d v="2024-03-14T00:00:00"/>
    <x v="3"/>
    <n v="2"/>
    <x v="0"/>
    <x v="2"/>
    <x v="5"/>
    <s v="Boomers"/>
    <n v="4"/>
  </r>
  <r>
    <s v="CUST0201"/>
    <s v="Gary Johnson"/>
    <x v="0"/>
    <n v="46"/>
    <x v="2"/>
    <x v="2"/>
    <n v="72930"/>
    <x v="2"/>
    <d v="2017-08-24T00:00:00"/>
    <x v="1"/>
    <n v="8"/>
    <x v="2"/>
    <x v="2"/>
    <x v="4"/>
    <s v="Gen X"/>
    <n v="3"/>
  </r>
  <r>
    <s v="CUST0202"/>
    <s v="Jason Johnson"/>
    <x v="1"/>
    <n v="30"/>
    <x v="3"/>
    <x v="2"/>
    <n v="195485"/>
    <x v="2"/>
    <d v="2019-03-13T00:00:00"/>
    <x v="0"/>
    <n v="7"/>
    <x v="1"/>
    <x v="0"/>
    <x v="6"/>
    <s v="Millenials"/>
    <n v="2"/>
  </r>
  <r>
    <s v="CUST0203"/>
    <s v="Dr. Caitlyn Durham"/>
    <x v="0"/>
    <n v="29"/>
    <x v="1"/>
    <x v="5"/>
    <n v="117883"/>
    <x v="0"/>
    <d v="2024-08-21T00:00:00"/>
    <x v="0"/>
    <n v="1"/>
    <x v="3"/>
    <x v="1"/>
    <x v="5"/>
    <s v="Millenials"/>
    <n v="2"/>
  </r>
  <r>
    <s v="CUST0204"/>
    <s v="Robert Gonzalez"/>
    <x v="0"/>
    <n v="48"/>
    <x v="0"/>
    <x v="6"/>
    <n v="53756"/>
    <x v="1"/>
    <d v="2016-06-12T00:00:00"/>
    <x v="1"/>
    <n v="10"/>
    <x v="2"/>
    <x v="2"/>
    <x v="3"/>
    <s v="Gen X"/>
    <n v="3"/>
  </r>
  <r>
    <s v="CUST0205"/>
    <s v="Bryan Allen"/>
    <x v="1"/>
    <n v="63"/>
    <x v="0"/>
    <x v="3"/>
    <n v="73268"/>
    <x v="0"/>
    <d v="2024-10-22T00:00:00"/>
    <x v="3"/>
    <n v="1"/>
    <x v="3"/>
    <x v="2"/>
    <x v="5"/>
    <s v="Boomers"/>
    <n v="4"/>
  </r>
  <r>
    <s v="CUST0206"/>
    <s v="Daniel Richardson"/>
    <x v="0"/>
    <n v="19"/>
    <x v="1"/>
    <x v="1"/>
    <n v="190286"/>
    <x v="1"/>
    <d v="2020-03-28T00:00:00"/>
    <x v="2"/>
    <n v="6"/>
    <x v="1"/>
    <x v="0"/>
    <x v="9"/>
    <s v="Gen Z"/>
    <n v="1"/>
  </r>
  <r>
    <s v="CUST0207"/>
    <s v="Christopher Wise"/>
    <x v="1"/>
    <n v="68"/>
    <x v="3"/>
    <x v="0"/>
    <n v="179674"/>
    <x v="0"/>
    <d v="2018-11-27T00:00:00"/>
    <x v="3"/>
    <n v="7"/>
    <x v="1"/>
    <x v="0"/>
    <x v="2"/>
    <s v="Boomers"/>
    <n v="4"/>
  </r>
  <r>
    <s v="CUST0208"/>
    <s v="Leslie Ashley"/>
    <x v="1"/>
    <n v="67"/>
    <x v="3"/>
    <x v="2"/>
    <n v="68901"/>
    <x v="1"/>
    <d v="2022-03-24T00:00:00"/>
    <x v="3"/>
    <n v="4"/>
    <x v="1"/>
    <x v="2"/>
    <x v="8"/>
    <s v="Boomers"/>
    <n v="4"/>
  </r>
  <r>
    <s v="CUST0209"/>
    <s v="Lauren Davidson"/>
    <x v="1"/>
    <n v="52"/>
    <x v="3"/>
    <x v="6"/>
    <n v="119986"/>
    <x v="0"/>
    <d v="2020-04-14T00:00:00"/>
    <x v="1"/>
    <n v="6"/>
    <x v="1"/>
    <x v="1"/>
    <x v="9"/>
    <s v="Gen X"/>
    <n v="3"/>
  </r>
  <r>
    <s v="CUST0210"/>
    <s v="Joanne Ray"/>
    <x v="0"/>
    <n v="40"/>
    <x v="2"/>
    <x v="2"/>
    <n v="183268"/>
    <x v="1"/>
    <d v="2019-10-04T00:00:00"/>
    <x v="0"/>
    <n v="6"/>
    <x v="1"/>
    <x v="0"/>
    <x v="6"/>
    <s v="Millenials"/>
    <n v="2"/>
  </r>
  <r>
    <s v="CUST0211"/>
    <s v="Ryan Mccormick"/>
    <x v="0"/>
    <n v="34"/>
    <x v="0"/>
    <x v="0"/>
    <n v="148386"/>
    <x v="1"/>
    <d v="2020-02-20T00:00:00"/>
    <x v="0"/>
    <n v="6"/>
    <x v="1"/>
    <x v="1"/>
    <x v="9"/>
    <s v="Millenials"/>
    <n v="2"/>
  </r>
  <r>
    <s v="CUST0212"/>
    <s v="Stephen Russell"/>
    <x v="0"/>
    <n v="43"/>
    <x v="0"/>
    <x v="6"/>
    <n v="25626"/>
    <x v="1"/>
    <d v="2019-01-12T00:00:00"/>
    <x v="0"/>
    <n v="7"/>
    <x v="1"/>
    <x v="2"/>
    <x v="6"/>
    <s v="Millenials"/>
    <n v="2"/>
  </r>
  <r>
    <s v="CUST0213"/>
    <s v="Nathan Blackburn"/>
    <x v="0"/>
    <n v="25"/>
    <x v="0"/>
    <x v="6"/>
    <n v="158496"/>
    <x v="0"/>
    <d v="2017-08-26T00:00:00"/>
    <x v="2"/>
    <n v="8"/>
    <x v="2"/>
    <x v="0"/>
    <x v="4"/>
    <s v="Gen Z"/>
    <n v="1"/>
  </r>
  <r>
    <s v="CUST0214"/>
    <s v="Sarah Wilson"/>
    <x v="0"/>
    <n v="46"/>
    <x v="2"/>
    <x v="1"/>
    <n v="32857"/>
    <x v="0"/>
    <d v="2022-08-26T00:00:00"/>
    <x v="1"/>
    <n v="3"/>
    <x v="0"/>
    <x v="2"/>
    <x v="8"/>
    <s v="Gen X"/>
    <n v="3"/>
  </r>
  <r>
    <s v="CUST0215"/>
    <s v="Cassandra Mcbride"/>
    <x v="0"/>
    <n v="43"/>
    <x v="0"/>
    <x v="1"/>
    <n v="171054"/>
    <x v="0"/>
    <d v="2020-02-16T00:00:00"/>
    <x v="0"/>
    <n v="6"/>
    <x v="1"/>
    <x v="0"/>
    <x v="9"/>
    <s v="Millenials"/>
    <n v="2"/>
  </r>
  <r>
    <s v="CUST0216"/>
    <s v="Abigail Gallegos"/>
    <x v="0"/>
    <n v="27"/>
    <x v="2"/>
    <x v="3"/>
    <n v="153052"/>
    <x v="0"/>
    <d v="2015-11-03T00:00:00"/>
    <x v="2"/>
    <n v="10"/>
    <x v="2"/>
    <x v="0"/>
    <x v="10"/>
    <s v="Gen Z"/>
    <n v="1"/>
  </r>
  <r>
    <s v="CUST0217"/>
    <s v="Jeremy Brown"/>
    <x v="1"/>
    <n v="43"/>
    <x v="3"/>
    <x v="3"/>
    <n v="199362"/>
    <x v="0"/>
    <d v="2023-06-06T00:00:00"/>
    <x v="0"/>
    <n v="3"/>
    <x v="0"/>
    <x v="0"/>
    <x v="0"/>
    <s v="Millenials"/>
    <n v="2"/>
  </r>
  <r>
    <s v="CUST0218"/>
    <s v="Samantha Castro"/>
    <x v="0"/>
    <n v="51"/>
    <x v="1"/>
    <x v="4"/>
    <n v="46431"/>
    <x v="2"/>
    <d v="2016-08-04T00:00:00"/>
    <x v="1"/>
    <n v="9"/>
    <x v="2"/>
    <x v="2"/>
    <x v="3"/>
    <s v="Gen X"/>
    <n v="3"/>
  </r>
  <r>
    <s v="CUST0219"/>
    <s v="Nathaniel Hudson"/>
    <x v="1"/>
    <n v="68"/>
    <x v="0"/>
    <x v="4"/>
    <n v="104976"/>
    <x v="0"/>
    <d v="2019-09-11T00:00:00"/>
    <x v="3"/>
    <n v="6"/>
    <x v="1"/>
    <x v="1"/>
    <x v="6"/>
    <s v="Boomers"/>
    <n v="4"/>
  </r>
  <r>
    <s v="CUST0220"/>
    <s v="Maria Herman"/>
    <x v="0"/>
    <n v="58"/>
    <x v="0"/>
    <x v="5"/>
    <n v="102711"/>
    <x v="0"/>
    <d v="2024-05-15T00:00:00"/>
    <x v="1"/>
    <n v="2"/>
    <x v="0"/>
    <x v="1"/>
    <x v="5"/>
    <s v="Gen X"/>
    <n v="3"/>
  </r>
  <r>
    <s v="CUST0221"/>
    <s v="Timothy Walters"/>
    <x v="0"/>
    <n v="24"/>
    <x v="3"/>
    <x v="2"/>
    <n v="46385"/>
    <x v="0"/>
    <d v="2017-11-07T00:00:00"/>
    <x v="2"/>
    <n v="8"/>
    <x v="2"/>
    <x v="2"/>
    <x v="4"/>
    <s v="Gen Z"/>
    <n v="1"/>
  </r>
  <r>
    <s v="CUST0222"/>
    <s v="Carrie Castro"/>
    <x v="0"/>
    <n v="21"/>
    <x v="1"/>
    <x v="3"/>
    <n v="189230"/>
    <x v="0"/>
    <d v="2024-07-22T00:00:00"/>
    <x v="2"/>
    <n v="1"/>
    <x v="3"/>
    <x v="0"/>
    <x v="5"/>
    <s v="Gen Z"/>
    <n v="1"/>
  </r>
  <r>
    <s v="CUST0223"/>
    <s v="Chad White"/>
    <x v="1"/>
    <n v="70"/>
    <x v="2"/>
    <x v="1"/>
    <n v="174091"/>
    <x v="1"/>
    <d v="2016-01-09T00:00:00"/>
    <x v="3"/>
    <n v="10"/>
    <x v="2"/>
    <x v="0"/>
    <x v="3"/>
    <s v="Boomers"/>
    <n v="4"/>
  </r>
  <r>
    <s v="CUST0224"/>
    <s v="Karen Lam"/>
    <x v="1"/>
    <n v="67"/>
    <x v="1"/>
    <x v="0"/>
    <n v="38639"/>
    <x v="0"/>
    <d v="2016-10-10T00:00:00"/>
    <x v="3"/>
    <n v="9"/>
    <x v="2"/>
    <x v="2"/>
    <x v="3"/>
    <s v="Boomers"/>
    <n v="4"/>
  </r>
  <r>
    <s v="CUST0225"/>
    <s v="Sarah Walton"/>
    <x v="1"/>
    <n v="62"/>
    <x v="3"/>
    <x v="1"/>
    <n v="105530"/>
    <x v="2"/>
    <d v="2017-12-01T00:00:00"/>
    <x v="3"/>
    <n v="8"/>
    <x v="2"/>
    <x v="1"/>
    <x v="4"/>
    <s v="Boomers"/>
    <n v="4"/>
  </r>
  <r>
    <s v="CUST0226"/>
    <s v="Theodore Mckinney"/>
    <x v="1"/>
    <n v="28"/>
    <x v="3"/>
    <x v="2"/>
    <n v="41563"/>
    <x v="0"/>
    <d v="2024-04-05T00:00:00"/>
    <x v="2"/>
    <n v="2"/>
    <x v="0"/>
    <x v="2"/>
    <x v="5"/>
    <s v="Gen Z"/>
    <n v="1"/>
  </r>
  <r>
    <s v="CUST0227"/>
    <s v="Sharon Chapman"/>
    <x v="0"/>
    <n v="46"/>
    <x v="1"/>
    <x v="4"/>
    <n v="190413"/>
    <x v="2"/>
    <d v="2017-05-18T00:00:00"/>
    <x v="1"/>
    <n v="9"/>
    <x v="2"/>
    <x v="0"/>
    <x v="4"/>
    <s v="Gen X"/>
    <n v="3"/>
  </r>
  <r>
    <s v="CUST0228"/>
    <s v="Melinda Cunningham"/>
    <x v="1"/>
    <n v="73"/>
    <x v="2"/>
    <x v="1"/>
    <n v="135672"/>
    <x v="1"/>
    <d v="2019-01-14T00:00:00"/>
    <x v="3"/>
    <n v="7"/>
    <x v="1"/>
    <x v="1"/>
    <x v="6"/>
    <s v="Boomers"/>
    <n v="4"/>
  </r>
  <r>
    <s v="CUST0229"/>
    <s v="Luke Lamb"/>
    <x v="0"/>
    <n v="53"/>
    <x v="2"/>
    <x v="5"/>
    <n v="156848"/>
    <x v="0"/>
    <d v="2022-08-13T00:00:00"/>
    <x v="1"/>
    <n v="3"/>
    <x v="0"/>
    <x v="0"/>
    <x v="8"/>
    <s v="Gen X"/>
    <n v="3"/>
  </r>
  <r>
    <s v="CUST0230"/>
    <s v="Ryan Holt"/>
    <x v="0"/>
    <n v="42"/>
    <x v="0"/>
    <x v="2"/>
    <n v="187516"/>
    <x v="2"/>
    <d v="2018-03-25T00:00:00"/>
    <x v="0"/>
    <n v="8"/>
    <x v="2"/>
    <x v="0"/>
    <x v="2"/>
    <s v="Millenials"/>
    <n v="2"/>
  </r>
  <r>
    <s v="CUST0231"/>
    <s v="Andrew Payne"/>
    <x v="1"/>
    <n v="38"/>
    <x v="2"/>
    <x v="4"/>
    <n v="159783"/>
    <x v="0"/>
    <d v="2023-01-11T00:00:00"/>
    <x v="0"/>
    <n v="3"/>
    <x v="0"/>
    <x v="0"/>
    <x v="0"/>
    <s v="Millenials"/>
    <n v="2"/>
  </r>
  <r>
    <s v="CUST0232"/>
    <s v="Misty Jacobs"/>
    <x v="1"/>
    <n v="74"/>
    <x v="1"/>
    <x v="0"/>
    <n v="102970"/>
    <x v="1"/>
    <d v="2018-08-23T00:00:00"/>
    <x v="3"/>
    <n v="7"/>
    <x v="1"/>
    <x v="1"/>
    <x v="2"/>
    <s v="Boomers"/>
    <n v="4"/>
  </r>
  <r>
    <s v="CUST0233"/>
    <s v="Kenneth Harrington"/>
    <x v="1"/>
    <n v="53"/>
    <x v="3"/>
    <x v="4"/>
    <n v="105553"/>
    <x v="0"/>
    <d v="2017-07-16T00:00:00"/>
    <x v="1"/>
    <n v="8"/>
    <x v="2"/>
    <x v="1"/>
    <x v="4"/>
    <s v="Gen X"/>
    <n v="3"/>
  </r>
  <r>
    <s v="CUST0234"/>
    <s v="Ryan Glass"/>
    <x v="1"/>
    <n v="27"/>
    <x v="0"/>
    <x v="6"/>
    <n v="181779"/>
    <x v="1"/>
    <d v="2017-08-29T00:00:00"/>
    <x v="2"/>
    <n v="8"/>
    <x v="2"/>
    <x v="0"/>
    <x v="4"/>
    <s v="Gen Z"/>
    <n v="1"/>
  </r>
  <r>
    <s v="CUST0235"/>
    <s v="Stephanie Valdez"/>
    <x v="1"/>
    <n v="54"/>
    <x v="0"/>
    <x v="5"/>
    <n v="190182"/>
    <x v="1"/>
    <d v="2023-04-17T00:00:00"/>
    <x v="1"/>
    <n v="3"/>
    <x v="0"/>
    <x v="0"/>
    <x v="0"/>
    <s v="Gen X"/>
    <n v="3"/>
  </r>
  <r>
    <s v="CUST0236"/>
    <s v="Patrick Ortiz"/>
    <x v="1"/>
    <n v="26"/>
    <x v="3"/>
    <x v="2"/>
    <n v="102879"/>
    <x v="1"/>
    <d v="2017-05-11T00:00:00"/>
    <x v="2"/>
    <n v="9"/>
    <x v="2"/>
    <x v="1"/>
    <x v="4"/>
    <s v="Gen Z"/>
    <n v="1"/>
  </r>
  <r>
    <s v="CUST0237"/>
    <s v="Nicholas Washington"/>
    <x v="1"/>
    <n v="41"/>
    <x v="2"/>
    <x v="0"/>
    <n v="189899"/>
    <x v="1"/>
    <d v="2024-10-14T00:00:00"/>
    <x v="0"/>
    <n v="1"/>
    <x v="3"/>
    <x v="0"/>
    <x v="5"/>
    <s v="Millenials"/>
    <n v="2"/>
  </r>
  <r>
    <s v="CUST0238"/>
    <s v="Crystal Melton"/>
    <x v="1"/>
    <n v="52"/>
    <x v="3"/>
    <x v="5"/>
    <n v="156727"/>
    <x v="0"/>
    <d v="2020-10-04T00:00:00"/>
    <x v="1"/>
    <n v="5"/>
    <x v="1"/>
    <x v="0"/>
    <x v="9"/>
    <s v="Gen X"/>
    <n v="3"/>
  </r>
  <r>
    <s v="CUST0239"/>
    <s v="Daniel Williams"/>
    <x v="0"/>
    <n v="66"/>
    <x v="2"/>
    <x v="4"/>
    <n v="64859"/>
    <x v="0"/>
    <d v="2024-11-05T00:00:00"/>
    <x v="3"/>
    <n v="1"/>
    <x v="3"/>
    <x v="2"/>
    <x v="5"/>
    <s v="Boomers"/>
    <n v="4"/>
  </r>
  <r>
    <s v="CUST0240"/>
    <s v="James Park"/>
    <x v="1"/>
    <n v="52"/>
    <x v="3"/>
    <x v="5"/>
    <n v="72098"/>
    <x v="0"/>
    <d v="2021-12-14T00:00:00"/>
    <x v="1"/>
    <n v="4"/>
    <x v="1"/>
    <x v="2"/>
    <x v="1"/>
    <s v="Gen X"/>
    <n v="3"/>
  </r>
  <r>
    <s v="CUST0241"/>
    <s v="Jeff Coleman"/>
    <x v="1"/>
    <n v="65"/>
    <x v="1"/>
    <x v="2"/>
    <n v="166323"/>
    <x v="0"/>
    <d v="2024-05-08T00:00:00"/>
    <x v="3"/>
    <n v="2"/>
    <x v="0"/>
    <x v="0"/>
    <x v="5"/>
    <s v="Boomers"/>
    <n v="4"/>
  </r>
  <r>
    <s v="CUST0242"/>
    <s v="Dustin Young"/>
    <x v="0"/>
    <n v="53"/>
    <x v="2"/>
    <x v="3"/>
    <n v="142413"/>
    <x v="1"/>
    <d v="2022-03-02T00:00:00"/>
    <x v="1"/>
    <n v="4"/>
    <x v="1"/>
    <x v="1"/>
    <x v="8"/>
    <s v="Gen X"/>
    <n v="3"/>
  </r>
  <r>
    <s v="CUST0243"/>
    <s v="Richard Johnson"/>
    <x v="1"/>
    <n v="35"/>
    <x v="1"/>
    <x v="5"/>
    <n v="20526"/>
    <x v="0"/>
    <d v="2019-08-11T00:00:00"/>
    <x v="0"/>
    <n v="6"/>
    <x v="1"/>
    <x v="2"/>
    <x v="6"/>
    <s v="Millenials"/>
    <n v="2"/>
  </r>
  <r>
    <s v="CUST0244"/>
    <s v="Timothy Wolf"/>
    <x v="0"/>
    <n v="66"/>
    <x v="0"/>
    <x v="6"/>
    <n v="88760"/>
    <x v="2"/>
    <d v="2022-12-27T00:00:00"/>
    <x v="3"/>
    <n v="3"/>
    <x v="0"/>
    <x v="2"/>
    <x v="8"/>
    <s v="Boomers"/>
    <n v="4"/>
  </r>
  <r>
    <s v="CUST0245"/>
    <s v="Kenneth Garza"/>
    <x v="0"/>
    <n v="56"/>
    <x v="3"/>
    <x v="5"/>
    <n v="67837"/>
    <x v="1"/>
    <d v="2018-10-22T00:00:00"/>
    <x v="1"/>
    <n v="7"/>
    <x v="1"/>
    <x v="2"/>
    <x v="2"/>
    <s v="Gen X"/>
    <n v="3"/>
  </r>
  <r>
    <s v="CUST0246"/>
    <s v="Joshua Best"/>
    <x v="1"/>
    <n v="49"/>
    <x v="0"/>
    <x v="4"/>
    <n v="31536"/>
    <x v="1"/>
    <d v="2018-01-13T00:00:00"/>
    <x v="1"/>
    <n v="8"/>
    <x v="2"/>
    <x v="2"/>
    <x v="2"/>
    <s v="Gen X"/>
    <n v="3"/>
  </r>
  <r>
    <s v="CUST0247"/>
    <s v="Charles Wilson"/>
    <x v="0"/>
    <n v="41"/>
    <x v="0"/>
    <x v="4"/>
    <n v="48541"/>
    <x v="0"/>
    <d v="2021-03-02T00:00:00"/>
    <x v="0"/>
    <n v="5"/>
    <x v="1"/>
    <x v="2"/>
    <x v="1"/>
    <s v="Millenials"/>
    <n v="2"/>
  </r>
  <r>
    <s v="CUST0248"/>
    <s v="Andre Bridges"/>
    <x v="0"/>
    <n v="40"/>
    <x v="0"/>
    <x v="0"/>
    <n v="99083"/>
    <x v="1"/>
    <d v="2023-09-10T00:00:00"/>
    <x v="0"/>
    <n v="2"/>
    <x v="0"/>
    <x v="2"/>
    <x v="0"/>
    <s v="Millenials"/>
    <n v="2"/>
  </r>
  <r>
    <s v="CUST0249"/>
    <s v="Dana Buchanan"/>
    <x v="0"/>
    <n v="49"/>
    <x v="0"/>
    <x v="4"/>
    <n v="54531"/>
    <x v="2"/>
    <d v="2021-01-07T00:00:00"/>
    <x v="1"/>
    <n v="5"/>
    <x v="1"/>
    <x v="2"/>
    <x v="1"/>
    <s v="Gen X"/>
    <n v="3"/>
  </r>
  <r>
    <s v="CUST0250"/>
    <s v="James Hardy"/>
    <x v="0"/>
    <n v="54"/>
    <x v="3"/>
    <x v="1"/>
    <n v="28712"/>
    <x v="0"/>
    <d v="2018-07-13T00:00:00"/>
    <x v="1"/>
    <n v="7"/>
    <x v="1"/>
    <x v="2"/>
    <x v="2"/>
    <s v="Gen X"/>
    <n v="3"/>
  </r>
  <r>
    <s v="CUST0251"/>
    <s v="Danny Scott"/>
    <x v="1"/>
    <n v="29"/>
    <x v="0"/>
    <x v="2"/>
    <n v="124101"/>
    <x v="1"/>
    <d v="2024-05-10T00:00:00"/>
    <x v="0"/>
    <n v="2"/>
    <x v="0"/>
    <x v="1"/>
    <x v="5"/>
    <s v="Millenials"/>
    <n v="2"/>
  </r>
  <r>
    <s v="CUST0252"/>
    <s v="Justin Krause"/>
    <x v="0"/>
    <n v="66"/>
    <x v="3"/>
    <x v="2"/>
    <n v="85455"/>
    <x v="1"/>
    <d v="2023-06-01T00:00:00"/>
    <x v="3"/>
    <n v="3"/>
    <x v="0"/>
    <x v="2"/>
    <x v="0"/>
    <s v="Boomers"/>
    <n v="4"/>
  </r>
  <r>
    <s v="CUST0253"/>
    <s v="Mike Walker"/>
    <x v="1"/>
    <n v="72"/>
    <x v="3"/>
    <x v="3"/>
    <n v="94744"/>
    <x v="0"/>
    <d v="2018-08-11T00:00:00"/>
    <x v="3"/>
    <n v="7"/>
    <x v="1"/>
    <x v="2"/>
    <x v="2"/>
    <s v="Boomers"/>
    <n v="4"/>
  </r>
  <r>
    <s v="CUST0254"/>
    <s v="James Wilkinson"/>
    <x v="0"/>
    <n v="30"/>
    <x v="1"/>
    <x v="3"/>
    <n v="149749"/>
    <x v="0"/>
    <d v="2017-07-14T00:00:00"/>
    <x v="0"/>
    <n v="8"/>
    <x v="2"/>
    <x v="1"/>
    <x v="4"/>
    <s v="Millenials"/>
    <n v="2"/>
  </r>
  <r>
    <s v="CUST0255"/>
    <s v="Nathaniel Wolf"/>
    <x v="0"/>
    <n v="40"/>
    <x v="2"/>
    <x v="2"/>
    <n v="25109"/>
    <x v="0"/>
    <d v="2016-10-30T00:00:00"/>
    <x v="0"/>
    <n v="9"/>
    <x v="2"/>
    <x v="2"/>
    <x v="3"/>
    <s v="Millenials"/>
    <n v="2"/>
  </r>
  <r>
    <s v="CUST0256"/>
    <s v="Robert Cooper"/>
    <x v="0"/>
    <n v="42"/>
    <x v="2"/>
    <x v="6"/>
    <n v="69268"/>
    <x v="0"/>
    <d v="2020-09-07T00:00:00"/>
    <x v="0"/>
    <n v="5"/>
    <x v="1"/>
    <x v="2"/>
    <x v="9"/>
    <s v="Millenials"/>
    <n v="2"/>
  </r>
  <r>
    <s v="CUST0257"/>
    <s v="Lisa Stevens"/>
    <x v="0"/>
    <n v="52"/>
    <x v="3"/>
    <x v="3"/>
    <n v="74615"/>
    <x v="0"/>
    <d v="2017-08-06T00:00:00"/>
    <x v="1"/>
    <n v="8"/>
    <x v="2"/>
    <x v="2"/>
    <x v="4"/>
    <s v="Gen X"/>
    <n v="3"/>
  </r>
  <r>
    <s v="CUST0258"/>
    <s v="Susan Thompson"/>
    <x v="1"/>
    <n v="58"/>
    <x v="1"/>
    <x v="0"/>
    <n v="102503"/>
    <x v="0"/>
    <d v="2025-06-11T00:00:00"/>
    <x v="1"/>
    <n v="1"/>
    <x v="3"/>
    <x v="1"/>
    <x v="7"/>
    <s v="Gen X"/>
    <n v="3"/>
  </r>
  <r>
    <s v="CUST0259"/>
    <s v="Jennifer Bell"/>
    <x v="1"/>
    <n v="47"/>
    <x v="3"/>
    <x v="4"/>
    <n v="180831"/>
    <x v="0"/>
    <d v="2020-10-11T00:00:00"/>
    <x v="1"/>
    <n v="5"/>
    <x v="1"/>
    <x v="0"/>
    <x v="9"/>
    <s v="Gen X"/>
    <n v="3"/>
  </r>
  <r>
    <s v="CUST0260"/>
    <s v="Nicholas Stone"/>
    <x v="0"/>
    <n v="34"/>
    <x v="3"/>
    <x v="2"/>
    <n v="105708"/>
    <x v="0"/>
    <d v="2022-01-27T00:00:00"/>
    <x v="0"/>
    <n v="4"/>
    <x v="1"/>
    <x v="1"/>
    <x v="8"/>
    <s v="Millenials"/>
    <n v="2"/>
  </r>
  <r>
    <s v="CUST0261"/>
    <s v="John Craig"/>
    <x v="0"/>
    <n v="66"/>
    <x v="3"/>
    <x v="3"/>
    <n v="122471"/>
    <x v="2"/>
    <d v="2019-10-06T00:00:00"/>
    <x v="3"/>
    <n v="6"/>
    <x v="1"/>
    <x v="1"/>
    <x v="6"/>
    <s v="Boomers"/>
    <n v="4"/>
  </r>
  <r>
    <s v="CUST0262"/>
    <s v="Joy Lopez"/>
    <x v="1"/>
    <n v="37"/>
    <x v="1"/>
    <x v="2"/>
    <n v="177661"/>
    <x v="0"/>
    <d v="2024-08-12T00:00:00"/>
    <x v="0"/>
    <n v="1"/>
    <x v="3"/>
    <x v="0"/>
    <x v="5"/>
    <s v="Millenials"/>
    <n v="2"/>
  </r>
  <r>
    <s v="CUST0263"/>
    <s v="Kristi Adams"/>
    <x v="0"/>
    <n v="65"/>
    <x v="2"/>
    <x v="1"/>
    <n v="181087"/>
    <x v="2"/>
    <d v="2019-12-30T00:00:00"/>
    <x v="3"/>
    <n v="6"/>
    <x v="1"/>
    <x v="0"/>
    <x v="6"/>
    <s v="Boomers"/>
    <n v="4"/>
  </r>
  <r>
    <s v="CUST0264"/>
    <s v="Kevin Tapia"/>
    <x v="0"/>
    <n v="42"/>
    <x v="1"/>
    <x v="5"/>
    <n v="180081"/>
    <x v="0"/>
    <d v="2015-10-20T00:00:00"/>
    <x v="0"/>
    <n v="10"/>
    <x v="2"/>
    <x v="0"/>
    <x v="10"/>
    <s v="Millenials"/>
    <n v="2"/>
  </r>
  <r>
    <s v="CUST0265"/>
    <s v="Carlos Wood"/>
    <x v="0"/>
    <n v="39"/>
    <x v="0"/>
    <x v="4"/>
    <n v="103309"/>
    <x v="0"/>
    <d v="2020-09-28T00:00:00"/>
    <x v="0"/>
    <n v="5"/>
    <x v="1"/>
    <x v="1"/>
    <x v="9"/>
    <s v="Millenials"/>
    <n v="2"/>
  </r>
  <r>
    <s v="CUST0266"/>
    <s v="Maria Everett"/>
    <x v="1"/>
    <n v="30"/>
    <x v="1"/>
    <x v="2"/>
    <n v="146446"/>
    <x v="0"/>
    <d v="2017-02-04T00:00:00"/>
    <x v="0"/>
    <n v="9"/>
    <x v="2"/>
    <x v="1"/>
    <x v="4"/>
    <s v="Millenials"/>
    <n v="2"/>
  </r>
  <r>
    <s v="CUST0267"/>
    <s v="Nicholas Cherry"/>
    <x v="1"/>
    <n v="36"/>
    <x v="1"/>
    <x v="5"/>
    <n v="126661"/>
    <x v="0"/>
    <d v="2021-08-29T00:00:00"/>
    <x v="0"/>
    <n v="4"/>
    <x v="1"/>
    <x v="1"/>
    <x v="1"/>
    <s v="Millenials"/>
    <n v="2"/>
  </r>
  <r>
    <s v="CUST0268"/>
    <s v="Derek Gardner"/>
    <x v="1"/>
    <n v="66"/>
    <x v="1"/>
    <x v="3"/>
    <n v="177215"/>
    <x v="0"/>
    <d v="2019-12-20T00:00:00"/>
    <x v="3"/>
    <n v="6"/>
    <x v="1"/>
    <x v="0"/>
    <x v="6"/>
    <s v="Boomers"/>
    <n v="4"/>
  </r>
  <r>
    <s v="CUST0269"/>
    <s v="Ashley Harper"/>
    <x v="0"/>
    <n v="53"/>
    <x v="1"/>
    <x v="5"/>
    <n v="26154"/>
    <x v="1"/>
    <d v="2018-02-19T00:00:00"/>
    <x v="1"/>
    <n v="8"/>
    <x v="2"/>
    <x v="2"/>
    <x v="2"/>
    <s v="Gen X"/>
    <n v="3"/>
  </r>
  <r>
    <s v="CUST0270"/>
    <s v="Sarah Taylor"/>
    <x v="0"/>
    <n v="29"/>
    <x v="2"/>
    <x v="4"/>
    <n v="172876"/>
    <x v="0"/>
    <d v="2017-01-02T00:00:00"/>
    <x v="0"/>
    <n v="9"/>
    <x v="2"/>
    <x v="0"/>
    <x v="4"/>
    <s v="Millenials"/>
    <n v="2"/>
  </r>
  <r>
    <s v="CUST0271"/>
    <s v="Keith Hendrix"/>
    <x v="1"/>
    <n v="58"/>
    <x v="0"/>
    <x v="2"/>
    <n v="192760"/>
    <x v="1"/>
    <d v="2023-05-05T00:00:00"/>
    <x v="1"/>
    <n v="3"/>
    <x v="0"/>
    <x v="0"/>
    <x v="0"/>
    <s v="Gen X"/>
    <n v="3"/>
  </r>
  <r>
    <s v="CUST0272"/>
    <s v="Seth Fritz"/>
    <x v="1"/>
    <n v="36"/>
    <x v="2"/>
    <x v="1"/>
    <n v="84288"/>
    <x v="1"/>
    <d v="2020-02-29T00:00:00"/>
    <x v="0"/>
    <n v="6"/>
    <x v="1"/>
    <x v="2"/>
    <x v="9"/>
    <s v="Millenials"/>
    <n v="2"/>
  </r>
  <r>
    <s v="CUST0273"/>
    <s v="Thomas Luna"/>
    <x v="1"/>
    <n v="29"/>
    <x v="2"/>
    <x v="6"/>
    <n v="71195"/>
    <x v="0"/>
    <d v="2020-06-26T00:00:00"/>
    <x v="0"/>
    <n v="6"/>
    <x v="1"/>
    <x v="2"/>
    <x v="9"/>
    <s v="Millenials"/>
    <n v="2"/>
  </r>
  <r>
    <s v="CUST0274"/>
    <s v="Megan Allen"/>
    <x v="1"/>
    <n v="26"/>
    <x v="1"/>
    <x v="3"/>
    <n v="40581"/>
    <x v="0"/>
    <d v="2024-09-24T00:00:00"/>
    <x v="2"/>
    <n v="1"/>
    <x v="3"/>
    <x v="2"/>
    <x v="5"/>
    <s v="Gen Z"/>
    <n v="1"/>
  </r>
  <r>
    <s v="CUST0275"/>
    <s v="Todd Moore"/>
    <x v="0"/>
    <n v="24"/>
    <x v="3"/>
    <x v="2"/>
    <n v="50087"/>
    <x v="1"/>
    <d v="2019-11-06T00:00:00"/>
    <x v="2"/>
    <n v="6"/>
    <x v="1"/>
    <x v="2"/>
    <x v="6"/>
    <s v="Gen Z"/>
    <n v="1"/>
  </r>
  <r>
    <s v="CUST0276"/>
    <s v="Rebecca Bailey"/>
    <x v="1"/>
    <n v="45"/>
    <x v="3"/>
    <x v="4"/>
    <n v="184053"/>
    <x v="0"/>
    <d v="2020-10-18T00:00:00"/>
    <x v="1"/>
    <n v="5"/>
    <x v="1"/>
    <x v="0"/>
    <x v="9"/>
    <s v="Gen X"/>
    <n v="3"/>
  </r>
  <r>
    <s v="CUST0277"/>
    <s v="Brandon Bennett"/>
    <x v="0"/>
    <n v="31"/>
    <x v="2"/>
    <x v="3"/>
    <n v="89298"/>
    <x v="0"/>
    <d v="2017-12-14T00:00:00"/>
    <x v="0"/>
    <n v="8"/>
    <x v="2"/>
    <x v="2"/>
    <x v="4"/>
    <s v="Millenials"/>
    <n v="2"/>
  </r>
  <r>
    <s v="CUST0278"/>
    <s v="Stacy Burns"/>
    <x v="1"/>
    <n v="48"/>
    <x v="2"/>
    <x v="0"/>
    <n v="66167"/>
    <x v="2"/>
    <d v="2019-02-01T00:00:00"/>
    <x v="1"/>
    <n v="7"/>
    <x v="1"/>
    <x v="2"/>
    <x v="6"/>
    <s v="Gen X"/>
    <n v="3"/>
  </r>
  <r>
    <s v="CUST0279"/>
    <s v="Vanessa Martinez"/>
    <x v="0"/>
    <n v="69"/>
    <x v="1"/>
    <x v="5"/>
    <n v="194480"/>
    <x v="0"/>
    <d v="2018-08-04T00:00:00"/>
    <x v="3"/>
    <n v="7"/>
    <x v="1"/>
    <x v="0"/>
    <x v="2"/>
    <s v="Boomers"/>
    <n v="4"/>
  </r>
  <r>
    <s v="CUST0280"/>
    <s v="Kristy Washington"/>
    <x v="1"/>
    <n v="36"/>
    <x v="2"/>
    <x v="6"/>
    <n v="59499"/>
    <x v="1"/>
    <d v="2017-05-27T00:00:00"/>
    <x v="0"/>
    <n v="9"/>
    <x v="2"/>
    <x v="2"/>
    <x v="4"/>
    <s v="Millenials"/>
    <n v="2"/>
  </r>
  <r>
    <s v="CUST0281"/>
    <s v="Dustin Zhang"/>
    <x v="1"/>
    <n v="64"/>
    <x v="1"/>
    <x v="4"/>
    <n v="145816"/>
    <x v="2"/>
    <d v="2021-10-31T00:00:00"/>
    <x v="3"/>
    <n v="4"/>
    <x v="1"/>
    <x v="1"/>
    <x v="1"/>
    <s v="Boomers"/>
    <n v="4"/>
  </r>
  <r>
    <s v="CUST0282"/>
    <s v="Monique Griffin"/>
    <x v="1"/>
    <n v="33"/>
    <x v="3"/>
    <x v="0"/>
    <n v="189631"/>
    <x v="0"/>
    <d v="2017-05-25T00:00:00"/>
    <x v="0"/>
    <n v="9"/>
    <x v="2"/>
    <x v="0"/>
    <x v="4"/>
    <s v="Millenials"/>
    <n v="2"/>
  </r>
  <r>
    <s v="CUST0283"/>
    <s v="Kristen Spencer"/>
    <x v="1"/>
    <n v="70"/>
    <x v="3"/>
    <x v="2"/>
    <n v="116347"/>
    <x v="0"/>
    <d v="2017-01-19T00:00:00"/>
    <x v="3"/>
    <n v="9"/>
    <x v="2"/>
    <x v="1"/>
    <x v="4"/>
    <s v="Boomers"/>
    <n v="4"/>
  </r>
  <r>
    <s v="CUST0284"/>
    <s v="Robert Clay"/>
    <x v="0"/>
    <n v="22"/>
    <x v="0"/>
    <x v="1"/>
    <n v="68787"/>
    <x v="0"/>
    <d v="2015-10-28T00:00:00"/>
    <x v="2"/>
    <n v="10"/>
    <x v="2"/>
    <x v="2"/>
    <x v="10"/>
    <s v="Gen Z"/>
    <n v="1"/>
  </r>
  <r>
    <s v="CUST0285"/>
    <s v="Kristen Nguyen"/>
    <x v="1"/>
    <n v="52"/>
    <x v="3"/>
    <x v="3"/>
    <n v="55488"/>
    <x v="0"/>
    <d v="2021-02-22T00:00:00"/>
    <x v="1"/>
    <n v="5"/>
    <x v="1"/>
    <x v="2"/>
    <x v="1"/>
    <s v="Gen X"/>
    <n v="3"/>
  </r>
  <r>
    <s v="CUST0286"/>
    <s v="Melanie Butler"/>
    <x v="0"/>
    <n v="29"/>
    <x v="2"/>
    <x v="5"/>
    <n v="94441"/>
    <x v="0"/>
    <d v="2020-01-26T00:00:00"/>
    <x v="0"/>
    <n v="6"/>
    <x v="1"/>
    <x v="2"/>
    <x v="9"/>
    <s v="Millenials"/>
    <n v="2"/>
  </r>
  <r>
    <s v="CUST0287"/>
    <s v="Tanner Davidson"/>
    <x v="0"/>
    <n v="42"/>
    <x v="3"/>
    <x v="3"/>
    <n v="42431"/>
    <x v="1"/>
    <d v="2025-04-22T00:00:00"/>
    <x v="0"/>
    <n v="1"/>
    <x v="3"/>
    <x v="2"/>
    <x v="7"/>
    <s v="Millenials"/>
    <n v="2"/>
  </r>
  <r>
    <s v="CUST0288"/>
    <s v="Richard Mcdonald"/>
    <x v="0"/>
    <n v="69"/>
    <x v="1"/>
    <x v="6"/>
    <n v="81681"/>
    <x v="0"/>
    <d v="2022-10-22T00:00:00"/>
    <x v="3"/>
    <n v="3"/>
    <x v="0"/>
    <x v="2"/>
    <x v="8"/>
    <s v="Boomers"/>
    <n v="4"/>
  </r>
  <r>
    <s v="CUST0289"/>
    <s v="Kelly Dennis"/>
    <x v="0"/>
    <n v="38"/>
    <x v="3"/>
    <x v="2"/>
    <n v="142720"/>
    <x v="0"/>
    <d v="2021-03-10T00:00:00"/>
    <x v="0"/>
    <n v="5"/>
    <x v="1"/>
    <x v="1"/>
    <x v="1"/>
    <s v="Millenials"/>
    <n v="2"/>
  </r>
  <r>
    <s v="CUST0290"/>
    <s v="Kimberly Anderson"/>
    <x v="1"/>
    <n v="53"/>
    <x v="0"/>
    <x v="3"/>
    <n v="69153"/>
    <x v="2"/>
    <d v="2016-09-04T00:00:00"/>
    <x v="1"/>
    <n v="9"/>
    <x v="2"/>
    <x v="2"/>
    <x v="3"/>
    <s v="Gen X"/>
    <n v="3"/>
  </r>
  <r>
    <s v="CUST0291"/>
    <s v="Sherry Watson"/>
    <x v="0"/>
    <n v="70"/>
    <x v="3"/>
    <x v="5"/>
    <n v="26368"/>
    <x v="1"/>
    <d v="2019-02-03T00:00:00"/>
    <x v="3"/>
    <n v="7"/>
    <x v="1"/>
    <x v="2"/>
    <x v="6"/>
    <s v="Boomers"/>
    <n v="4"/>
  </r>
  <r>
    <s v="CUST0292"/>
    <s v="Tony Dunn"/>
    <x v="0"/>
    <n v="40"/>
    <x v="1"/>
    <x v="2"/>
    <n v="178496"/>
    <x v="1"/>
    <d v="2022-11-28T00:00:00"/>
    <x v="0"/>
    <n v="3"/>
    <x v="0"/>
    <x v="0"/>
    <x v="8"/>
    <s v="Millenials"/>
    <n v="2"/>
  </r>
  <r>
    <s v="CUST0293"/>
    <s v="Adam Welch"/>
    <x v="0"/>
    <n v="33"/>
    <x v="1"/>
    <x v="3"/>
    <n v="132360"/>
    <x v="0"/>
    <d v="2016-10-31T00:00:00"/>
    <x v="0"/>
    <n v="9"/>
    <x v="2"/>
    <x v="1"/>
    <x v="3"/>
    <s v="Millenials"/>
    <n v="2"/>
  </r>
  <r>
    <s v="CUST0294"/>
    <s v="Vicki Andersen"/>
    <x v="1"/>
    <n v="74"/>
    <x v="2"/>
    <x v="1"/>
    <n v="196076"/>
    <x v="1"/>
    <d v="2018-08-23T00:00:00"/>
    <x v="3"/>
    <n v="7"/>
    <x v="1"/>
    <x v="0"/>
    <x v="2"/>
    <s v="Boomers"/>
    <n v="4"/>
  </r>
  <r>
    <s v="CUST0295"/>
    <s v="Donna Clark"/>
    <x v="1"/>
    <n v="56"/>
    <x v="3"/>
    <x v="4"/>
    <n v="132755"/>
    <x v="0"/>
    <d v="2016-05-20T00:00:00"/>
    <x v="1"/>
    <n v="10"/>
    <x v="2"/>
    <x v="1"/>
    <x v="3"/>
    <s v="Gen X"/>
    <n v="3"/>
  </r>
  <r>
    <s v="CUST0296"/>
    <s v="Ronald Meyer"/>
    <x v="1"/>
    <n v="62"/>
    <x v="1"/>
    <x v="2"/>
    <n v="76985"/>
    <x v="0"/>
    <d v="2022-03-26T00:00:00"/>
    <x v="3"/>
    <n v="4"/>
    <x v="1"/>
    <x v="2"/>
    <x v="8"/>
    <s v="Boomers"/>
    <n v="4"/>
  </r>
  <r>
    <s v="CUST0297"/>
    <s v="Jeffery James"/>
    <x v="1"/>
    <n v="70"/>
    <x v="0"/>
    <x v="4"/>
    <n v="70069"/>
    <x v="0"/>
    <d v="2022-10-28T00:00:00"/>
    <x v="3"/>
    <n v="3"/>
    <x v="0"/>
    <x v="2"/>
    <x v="8"/>
    <s v="Boomers"/>
    <n v="4"/>
  </r>
  <r>
    <s v="CUST0298"/>
    <s v="Heather Rodriguez"/>
    <x v="0"/>
    <n v="59"/>
    <x v="2"/>
    <x v="2"/>
    <n v="72326"/>
    <x v="1"/>
    <d v="2017-07-06T00:00:00"/>
    <x v="1"/>
    <n v="8"/>
    <x v="2"/>
    <x v="2"/>
    <x v="4"/>
    <s v="Gen X"/>
    <n v="3"/>
  </r>
  <r>
    <s v="CUST0299"/>
    <s v="Luis Werner"/>
    <x v="0"/>
    <n v="56"/>
    <x v="0"/>
    <x v="1"/>
    <n v="128737"/>
    <x v="0"/>
    <d v="2023-10-01T00:00:00"/>
    <x v="1"/>
    <n v="2"/>
    <x v="0"/>
    <x v="1"/>
    <x v="0"/>
    <s v="Gen X"/>
    <n v="3"/>
  </r>
  <r>
    <s v="CUST0300"/>
    <s v="Stephanie Khan"/>
    <x v="1"/>
    <n v="31"/>
    <x v="3"/>
    <x v="4"/>
    <n v="174470"/>
    <x v="0"/>
    <d v="2024-04-20T00:00:00"/>
    <x v="0"/>
    <n v="2"/>
    <x v="0"/>
    <x v="0"/>
    <x v="5"/>
    <s v="Millenials"/>
    <n v="2"/>
  </r>
  <r>
    <s v="CUST0301"/>
    <s v="Regina Schultz"/>
    <x v="0"/>
    <n v="48"/>
    <x v="3"/>
    <x v="0"/>
    <n v="70861"/>
    <x v="0"/>
    <d v="2024-02-12T00:00:00"/>
    <x v="1"/>
    <n v="2"/>
    <x v="0"/>
    <x v="2"/>
    <x v="5"/>
    <s v="Gen X"/>
    <n v="3"/>
  </r>
  <r>
    <s v="CUST0302"/>
    <s v="Austin James"/>
    <x v="0"/>
    <n v="22"/>
    <x v="3"/>
    <x v="5"/>
    <n v="95897"/>
    <x v="0"/>
    <d v="2021-10-04T00:00:00"/>
    <x v="2"/>
    <n v="4"/>
    <x v="1"/>
    <x v="2"/>
    <x v="1"/>
    <s v="Gen Z"/>
    <n v="1"/>
  </r>
  <r>
    <s v="CUST0303"/>
    <s v="Steven Black"/>
    <x v="0"/>
    <n v="52"/>
    <x v="2"/>
    <x v="0"/>
    <n v="147118"/>
    <x v="1"/>
    <d v="2023-01-31T00:00:00"/>
    <x v="1"/>
    <n v="3"/>
    <x v="0"/>
    <x v="1"/>
    <x v="0"/>
    <s v="Gen X"/>
    <n v="3"/>
  </r>
  <r>
    <s v="CUST0304"/>
    <s v="Linda Hansen"/>
    <x v="1"/>
    <n v="40"/>
    <x v="1"/>
    <x v="3"/>
    <n v="88577"/>
    <x v="1"/>
    <d v="2018-05-31T00:00:00"/>
    <x v="0"/>
    <n v="8"/>
    <x v="2"/>
    <x v="2"/>
    <x v="2"/>
    <s v="Millenials"/>
    <n v="2"/>
  </r>
  <r>
    <s v="CUST0305"/>
    <s v="Erica Perez"/>
    <x v="1"/>
    <n v="46"/>
    <x v="2"/>
    <x v="1"/>
    <n v="29078"/>
    <x v="1"/>
    <d v="2017-11-02T00:00:00"/>
    <x v="1"/>
    <n v="8"/>
    <x v="2"/>
    <x v="2"/>
    <x v="4"/>
    <s v="Gen X"/>
    <n v="3"/>
  </r>
  <r>
    <s v="CUST0306"/>
    <s v="Marco Hartman"/>
    <x v="0"/>
    <n v="60"/>
    <x v="0"/>
    <x v="0"/>
    <n v="176075"/>
    <x v="0"/>
    <d v="2018-06-10T00:00:00"/>
    <x v="1"/>
    <n v="8"/>
    <x v="2"/>
    <x v="0"/>
    <x v="2"/>
    <s v="Gen X"/>
    <n v="3"/>
  </r>
  <r>
    <s v="CUST0307"/>
    <s v="Angela Garcia"/>
    <x v="1"/>
    <n v="28"/>
    <x v="2"/>
    <x v="2"/>
    <n v="82768"/>
    <x v="0"/>
    <d v="2015-10-16T00:00:00"/>
    <x v="2"/>
    <n v="10"/>
    <x v="2"/>
    <x v="2"/>
    <x v="10"/>
    <s v="Gen Z"/>
    <n v="1"/>
  </r>
  <r>
    <s v="CUST0308"/>
    <s v="Daniel Miller"/>
    <x v="1"/>
    <n v="35"/>
    <x v="0"/>
    <x v="3"/>
    <n v="71047"/>
    <x v="0"/>
    <d v="2015-08-23T00:00:00"/>
    <x v="0"/>
    <n v="10"/>
    <x v="2"/>
    <x v="2"/>
    <x v="10"/>
    <s v="Millenials"/>
    <n v="2"/>
  </r>
  <r>
    <s v="CUST0309"/>
    <s v="Jeanne Marquez"/>
    <x v="1"/>
    <n v="64"/>
    <x v="2"/>
    <x v="3"/>
    <n v="91626"/>
    <x v="0"/>
    <d v="2016-05-16T00:00:00"/>
    <x v="3"/>
    <n v="10"/>
    <x v="2"/>
    <x v="2"/>
    <x v="3"/>
    <s v="Boomers"/>
    <n v="4"/>
  </r>
  <r>
    <s v="CUST0310"/>
    <s v="Joshua Morales"/>
    <x v="1"/>
    <n v="29"/>
    <x v="1"/>
    <x v="0"/>
    <n v="77660"/>
    <x v="0"/>
    <d v="2016-12-16T00:00:00"/>
    <x v="0"/>
    <n v="9"/>
    <x v="2"/>
    <x v="2"/>
    <x v="3"/>
    <s v="Millenials"/>
    <n v="2"/>
  </r>
  <r>
    <s v="CUST0311"/>
    <s v="Dr. Jeremy Miller"/>
    <x v="1"/>
    <n v="26"/>
    <x v="0"/>
    <x v="0"/>
    <n v="152997"/>
    <x v="1"/>
    <d v="2017-05-06T00:00:00"/>
    <x v="2"/>
    <n v="9"/>
    <x v="2"/>
    <x v="0"/>
    <x v="4"/>
    <s v="Gen Z"/>
    <n v="1"/>
  </r>
  <r>
    <s v="CUST0312"/>
    <s v="Jennifer Foster"/>
    <x v="0"/>
    <n v="27"/>
    <x v="3"/>
    <x v="1"/>
    <n v="137832"/>
    <x v="0"/>
    <d v="2019-10-29T00:00:00"/>
    <x v="2"/>
    <n v="6"/>
    <x v="1"/>
    <x v="1"/>
    <x v="6"/>
    <s v="Gen Z"/>
    <n v="1"/>
  </r>
  <r>
    <s v="CUST0313"/>
    <s v="Amy Thornton"/>
    <x v="1"/>
    <n v="61"/>
    <x v="3"/>
    <x v="5"/>
    <n v="150406"/>
    <x v="0"/>
    <d v="2019-04-11T00:00:00"/>
    <x v="3"/>
    <n v="7"/>
    <x v="1"/>
    <x v="0"/>
    <x v="6"/>
    <s v="Boomers"/>
    <n v="4"/>
  </r>
  <r>
    <s v="CUST0314"/>
    <s v="Kenneth Vasquez"/>
    <x v="0"/>
    <n v="34"/>
    <x v="2"/>
    <x v="0"/>
    <n v="145150"/>
    <x v="0"/>
    <d v="2022-06-02T00:00:00"/>
    <x v="0"/>
    <n v="4"/>
    <x v="1"/>
    <x v="1"/>
    <x v="8"/>
    <s v="Millenials"/>
    <n v="2"/>
  </r>
  <r>
    <s v="CUST0315"/>
    <s v="Audrey Ward"/>
    <x v="0"/>
    <n v="55"/>
    <x v="3"/>
    <x v="6"/>
    <n v="177087"/>
    <x v="0"/>
    <d v="2025-05-17T00:00:00"/>
    <x v="1"/>
    <n v="1"/>
    <x v="3"/>
    <x v="0"/>
    <x v="7"/>
    <s v="Gen X"/>
    <n v="3"/>
  </r>
  <r>
    <s v="CUST0316"/>
    <s v="Heather Carter"/>
    <x v="1"/>
    <n v="24"/>
    <x v="0"/>
    <x v="0"/>
    <n v="53320"/>
    <x v="0"/>
    <d v="2023-05-12T00:00:00"/>
    <x v="2"/>
    <n v="3"/>
    <x v="0"/>
    <x v="2"/>
    <x v="0"/>
    <s v="Gen Z"/>
    <n v="1"/>
  </r>
  <r>
    <s v="CUST0317"/>
    <s v="Robert Hill"/>
    <x v="0"/>
    <n v="63"/>
    <x v="3"/>
    <x v="4"/>
    <n v="84881"/>
    <x v="2"/>
    <d v="2022-03-30T00:00:00"/>
    <x v="3"/>
    <n v="4"/>
    <x v="1"/>
    <x v="2"/>
    <x v="8"/>
    <s v="Boomers"/>
    <n v="4"/>
  </r>
  <r>
    <s v="CUST0318"/>
    <s v="Jay Gray"/>
    <x v="0"/>
    <n v="30"/>
    <x v="1"/>
    <x v="2"/>
    <n v="110827"/>
    <x v="1"/>
    <d v="2016-01-12T00:00:00"/>
    <x v="0"/>
    <n v="10"/>
    <x v="2"/>
    <x v="1"/>
    <x v="3"/>
    <s v="Millenials"/>
    <n v="2"/>
  </r>
  <r>
    <s v="CUST0319"/>
    <s v="Reginald Tapia"/>
    <x v="0"/>
    <n v="57"/>
    <x v="1"/>
    <x v="6"/>
    <n v="122215"/>
    <x v="2"/>
    <d v="2019-06-21T00:00:00"/>
    <x v="1"/>
    <n v="7"/>
    <x v="1"/>
    <x v="1"/>
    <x v="6"/>
    <s v="Gen X"/>
    <n v="3"/>
  </r>
  <r>
    <s v="CUST0320"/>
    <s v="Erica Collins"/>
    <x v="1"/>
    <n v="59"/>
    <x v="2"/>
    <x v="6"/>
    <n v="177361"/>
    <x v="0"/>
    <d v="2023-09-16T00:00:00"/>
    <x v="1"/>
    <n v="2"/>
    <x v="0"/>
    <x v="0"/>
    <x v="0"/>
    <s v="Gen X"/>
    <n v="3"/>
  </r>
  <r>
    <s v="CUST0321"/>
    <s v="Joseph Hunter"/>
    <x v="1"/>
    <n v="26"/>
    <x v="0"/>
    <x v="4"/>
    <n v="154461"/>
    <x v="0"/>
    <d v="2022-12-05T00:00:00"/>
    <x v="2"/>
    <n v="3"/>
    <x v="0"/>
    <x v="0"/>
    <x v="8"/>
    <s v="Gen Z"/>
    <n v="1"/>
  </r>
  <r>
    <s v="CUST0322"/>
    <s v="Lisa Hartman"/>
    <x v="0"/>
    <n v="67"/>
    <x v="1"/>
    <x v="4"/>
    <n v="176755"/>
    <x v="0"/>
    <d v="2019-05-28T00:00:00"/>
    <x v="3"/>
    <n v="7"/>
    <x v="1"/>
    <x v="0"/>
    <x v="6"/>
    <s v="Boomers"/>
    <n v="4"/>
  </r>
  <r>
    <s v="CUST0323"/>
    <s v="James Hernandez"/>
    <x v="1"/>
    <n v="44"/>
    <x v="1"/>
    <x v="3"/>
    <n v="164701"/>
    <x v="0"/>
    <d v="2018-09-22T00:00:00"/>
    <x v="0"/>
    <n v="7"/>
    <x v="1"/>
    <x v="0"/>
    <x v="2"/>
    <s v="Millenials"/>
    <n v="2"/>
  </r>
  <r>
    <s v="CUST0324"/>
    <s v="Erin Nelson"/>
    <x v="1"/>
    <n v="19"/>
    <x v="0"/>
    <x v="5"/>
    <n v="81550"/>
    <x v="1"/>
    <d v="2017-03-23T00:00:00"/>
    <x v="2"/>
    <n v="9"/>
    <x v="2"/>
    <x v="2"/>
    <x v="4"/>
    <s v="Gen Z"/>
    <n v="1"/>
  </r>
  <r>
    <s v="CUST0325"/>
    <s v="Gregg Harris"/>
    <x v="1"/>
    <n v="22"/>
    <x v="3"/>
    <x v="2"/>
    <n v="44826"/>
    <x v="0"/>
    <d v="2022-03-20T00:00:00"/>
    <x v="2"/>
    <n v="4"/>
    <x v="1"/>
    <x v="2"/>
    <x v="8"/>
    <s v="Gen Z"/>
    <n v="1"/>
  </r>
  <r>
    <s v="CUST0326"/>
    <s v="William Singleton"/>
    <x v="1"/>
    <n v="46"/>
    <x v="3"/>
    <x v="1"/>
    <n v="120734"/>
    <x v="0"/>
    <d v="2020-01-17T00:00:00"/>
    <x v="1"/>
    <n v="6"/>
    <x v="1"/>
    <x v="1"/>
    <x v="9"/>
    <s v="Gen X"/>
    <n v="3"/>
  </r>
  <r>
    <s v="CUST0327"/>
    <s v="Raymond Smith"/>
    <x v="0"/>
    <n v="54"/>
    <x v="2"/>
    <x v="6"/>
    <n v="177702"/>
    <x v="0"/>
    <d v="2023-07-20T00:00:00"/>
    <x v="1"/>
    <n v="2"/>
    <x v="0"/>
    <x v="0"/>
    <x v="0"/>
    <s v="Gen X"/>
    <n v="3"/>
  </r>
  <r>
    <s v="CUST0328"/>
    <s v="Brenda Brown"/>
    <x v="0"/>
    <n v="55"/>
    <x v="3"/>
    <x v="1"/>
    <n v="197235"/>
    <x v="0"/>
    <d v="2021-09-22T00:00:00"/>
    <x v="1"/>
    <n v="4"/>
    <x v="1"/>
    <x v="0"/>
    <x v="1"/>
    <s v="Gen X"/>
    <n v="3"/>
  </r>
  <r>
    <s v="CUST0329"/>
    <s v="Philip Brown"/>
    <x v="1"/>
    <n v="36"/>
    <x v="0"/>
    <x v="0"/>
    <n v="118511"/>
    <x v="1"/>
    <d v="2022-08-18T00:00:00"/>
    <x v="0"/>
    <n v="3"/>
    <x v="0"/>
    <x v="1"/>
    <x v="8"/>
    <s v="Millenials"/>
    <n v="2"/>
  </r>
  <r>
    <s v="CUST0330"/>
    <s v="Jeremy Boyer"/>
    <x v="1"/>
    <n v="25"/>
    <x v="1"/>
    <x v="0"/>
    <n v="31653"/>
    <x v="0"/>
    <d v="2017-04-05T00:00:00"/>
    <x v="2"/>
    <n v="9"/>
    <x v="2"/>
    <x v="2"/>
    <x v="4"/>
    <s v="Gen Z"/>
    <n v="1"/>
  </r>
  <r>
    <s v="CUST0331"/>
    <s v="Theresa Burke"/>
    <x v="0"/>
    <n v="65"/>
    <x v="3"/>
    <x v="1"/>
    <n v="179033"/>
    <x v="0"/>
    <d v="2019-11-07T00:00:00"/>
    <x v="3"/>
    <n v="6"/>
    <x v="1"/>
    <x v="0"/>
    <x v="6"/>
    <s v="Boomers"/>
    <n v="4"/>
  </r>
  <r>
    <s v="CUST0332"/>
    <s v="Amber Myers"/>
    <x v="0"/>
    <n v="62"/>
    <x v="2"/>
    <x v="0"/>
    <n v="101941"/>
    <x v="0"/>
    <d v="2021-09-09T00:00:00"/>
    <x v="3"/>
    <n v="4"/>
    <x v="1"/>
    <x v="1"/>
    <x v="1"/>
    <s v="Boomers"/>
    <n v="4"/>
  </r>
  <r>
    <s v="CUST0333"/>
    <s v="Ronald Bennett"/>
    <x v="1"/>
    <n v="18"/>
    <x v="3"/>
    <x v="5"/>
    <n v="53662"/>
    <x v="0"/>
    <d v="2015-12-09T00:00:00"/>
    <x v="2"/>
    <n v="10"/>
    <x v="2"/>
    <x v="2"/>
    <x v="10"/>
    <s v="Gen Z"/>
    <n v="1"/>
  </r>
  <r>
    <s v="CUST0334"/>
    <s v="Beth Mccoy"/>
    <x v="0"/>
    <n v="39"/>
    <x v="0"/>
    <x v="4"/>
    <n v="118818"/>
    <x v="1"/>
    <d v="2019-01-29T00:00:00"/>
    <x v="0"/>
    <n v="7"/>
    <x v="1"/>
    <x v="1"/>
    <x v="6"/>
    <s v="Millenials"/>
    <n v="2"/>
  </r>
  <r>
    <s v="CUST0335"/>
    <s v="George Ramos"/>
    <x v="1"/>
    <n v="69"/>
    <x v="2"/>
    <x v="0"/>
    <n v="172360"/>
    <x v="1"/>
    <d v="2022-01-12T00:00:00"/>
    <x v="3"/>
    <n v="4"/>
    <x v="1"/>
    <x v="0"/>
    <x v="8"/>
    <s v="Boomers"/>
    <n v="4"/>
  </r>
  <r>
    <s v="CUST0336"/>
    <s v="Kimberly Estes"/>
    <x v="1"/>
    <n v="34"/>
    <x v="3"/>
    <x v="3"/>
    <n v="115081"/>
    <x v="2"/>
    <d v="2017-03-23T00:00:00"/>
    <x v="0"/>
    <n v="9"/>
    <x v="2"/>
    <x v="1"/>
    <x v="4"/>
    <s v="Millenials"/>
    <n v="2"/>
  </r>
  <r>
    <s v="CUST0337"/>
    <s v="Debbie Riley"/>
    <x v="0"/>
    <n v="24"/>
    <x v="2"/>
    <x v="0"/>
    <n v="56877"/>
    <x v="1"/>
    <d v="2025-08-08T00:00:00"/>
    <x v="2"/>
    <n v="0"/>
    <x v="3"/>
    <x v="2"/>
    <x v="7"/>
    <s v="Gen Z"/>
    <n v="1"/>
  </r>
  <r>
    <s v="CUST0338"/>
    <s v="Derek Jones"/>
    <x v="0"/>
    <n v="42"/>
    <x v="0"/>
    <x v="2"/>
    <n v="131562"/>
    <x v="0"/>
    <d v="2022-11-03T00:00:00"/>
    <x v="0"/>
    <n v="3"/>
    <x v="0"/>
    <x v="1"/>
    <x v="8"/>
    <s v="Millenials"/>
    <n v="2"/>
  </r>
  <r>
    <s v="CUST0339"/>
    <s v="Susan Best"/>
    <x v="1"/>
    <n v="62"/>
    <x v="1"/>
    <x v="5"/>
    <n v="166385"/>
    <x v="1"/>
    <d v="2018-06-29T00:00:00"/>
    <x v="3"/>
    <n v="8"/>
    <x v="2"/>
    <x v="0"/>
    <x v="2"/>
    <s v="Boomers"/>
    <n v="4"/>
  </r>
  <r>
    <s v="CUST0340"/>
    <s v="Kyle Hendricks"/>
    <x v="1"/>
    <n v="21"/>
    <x v="0"/>
    <x v="2"/>
    <n v="92715"/>
    <x v="0"/>
    <d v="2017-07-11T00:00:00"/>
    <x v="2"/>
    <n v="8"/>
    <x v="2"/>
    <x v="2"/>
    <x v="4"/>
    <s v="Gen Z"/>
    <n v="1"/>
  </r>
  <r>
    <s v="CUST0341"/>
    <s v="Paul Payne"/>
    <x v="0"/>
    <n v="53"/>
    <x v="0"/>
    <x v="2"/>
    <n v="161398"/>
    <x v="0"/>
    <d v="2017-10-01T00:00:00"/>
    <x v="1"/>
    <n v="8"/>
    <x v="2"/>
    <x v="0"/>
    <x v="4"/>
    <s v="Gen X"/>
    <n v="3"/>
  </r>
  <r>
    <s v="CUST0342"/>
    <s v="Perry Alvarez"/>
    <x v="1"/>
    <n v="23"/>
    <x v="0"/>
    <x v="3"/>
    <n v="130091"/>
    <x v="1"/>
    <d v="2023-04-01T00:00:00"/>
    <x v="2"/>
    <n v="3"/>
    <x v="0"/>
    <x v="1"/>
    <x v="0"/>
    <s v="Gen Z"/>
    <n v="1"/>
  </r>
  <r>
    <s v="CUST0343"/>
    <s v="Danielle Cox"/>
    <x v="0"/>
    <n v="48"/>
    <x v="0"/>
    <x v="5"/>
    <n v="152632"/>
    <x v="0"/>
    <d v="2018-02-23T00:00:00"/>
    <x v="1"/>
    <n v="8"/>
    <x v="2"/>
    <x v="0"/>
    <x v="2"/>
    <s v="Gen X"/>
    <n v="3"/>
  </r>
  <r>
    <s v="CUST0344"/>
    <s v="Christian Mendez"/>
    <x v="1"/>
    <n v="36"/>
    <x v="1"/>
    <x v="5"/>
    <n v="99148"/>
    <x v="2"/>
    <d v="2017-11-13T00:00:00"/>
    <x v="0"/>
    <n v="8"/>
    <x v="2"/>
    <x v="2"/>
    <x v="4"/>
    <s v="Millenials"/>
    <n v="2"/>
  </r>
  <r>
    <s v="CUST0345"/>
    <s v="Alicia Day"/>
    <x v="0"/>
    <n v="61"/>
    <x v="1"/>
    <x v="5"/>
    <n v="103186"/>
    <x v="0"/>
    <d v="2019-08-27T00:00:00"/>
    <x v="3"/>
    <n v="6"/>
    <x v="1"/>
    <x v="1"/>
    <x v="6"/>
    <s v="Boomers"/>
    <n v="4"/>
  </r>
  <r>
    <s v="CUST0346"/>
    <s v="Nathan Smith"/>
    <x v="0"/>
    <n v="71"/>
    <x v="2"/>
    <x v="5"/>
    <n v="177817"/>
    <x v="1"/>
    <d v="2022-05-28T00:00:00"/>
    <x v="3"/>
    <n v="4"/>
    <x v="1"/>
    <x v="0"/>
    <x v="8"/>
    <s v="Boomers"/>
    <n v="4"/>
  </r>
  <r>
    <s v="CUST0347"/>
    <s v="Oscar Ortiz"/>
    <x v="0"/>
    <n v="56"/>
    <x v="3"/>
    <x v="5"/>
    <n v="182962"/>
    <x v="1"/>
    <d v="2024-09-25T00:00:00"/>
    <x v="1"/>
    <n v="1"/>
    <x v="3"/>
    <x v="0"/>
    <x v="5"/>
    <s v="Gen X"/>
    <n v="3"/>
  </r>
  <r>
    <s v="CUST0348"/>
    <s v="Jenna Cochran"/>
    <x v="1"/>
    <n v="44"/>
    <x v="1"/>
    <x v="3"/>
    <n v="171094"/>
    <x v="1"/>
    <d v="2019-01-20T00:00:00"/>
    <x v="0"/>
    <n v="7"/>
    <x v="1"/>
    <x v="0"/>
    <x v="6"/>
    <s v="Millenials"/>
    <n v="2"/>
  </r>
  <r>
    <s v="CUST0349"/>
    <s v="Christopher Spencer"/>
    <x v="1"/>
    <n v="27"/>
    <x v="1"/>
    <x v="0"/>
    <n v="143629"/>
    <x v="1"/>
    <d v="2025-08-19T00:00:00"/>
    <x v="2"/>
    <n v="0"/>
    <x v="3"/>
    <x v="1"/>
    <x v="7"/>
    <s v="Gen Z"/>
    <n v="1"/>
  </r>
  <r>
    <s v="CUST0350"/>
    <s v="Brandon Fox DDS"/>
    <x v="0"/>
    <n v="43"/>
    <x v="3"/>
    <x v="2"/>
    <n v="90316"/>
    <x v="1"/>
    <d v="2022-12-31T00:00:00"/>
    <x v="0"/>
    <n v="3"/>
    <x v="0"/>
    <x v="2"/>
    <x v="8"/>
    <s v="Millenials"/>
    <n v="2"/>
  </r>
  <r>
    <s v="CUST0351"/>
    <s v="Alexander Davis"/>
    <x v="1"/>
    <n v="36"/>
    <x v="1"/>
    <x v="5"/>
    <n v="48380"/>
    <x v="0"/>
    <d v="2021-02-14T00:00:00"/>
    <x v="0"/>
    <n v="5"/>
    <x v="1"/>
    <x v="2"/>
    <x v="1"/>
    <s v="Millenials"/>
    <n v="2"/>
  </r>
  <r>
    <s v="CUST0352"/>
    <s v="Steven Gilbert"/>
    <x v="0"/>
    <n v="56"/>
    <x v="0"/>
    <x v="6"/>
    <n v="130198"/>
    <x v="0"/>
    <d v="2020-05-22T00:00:00"/>
    <x v="1"/>
    <n v="6"/>
    <x v="1"/>
    <x v="1"/>
    <x v="9"/>
    <s v="Gen X"/>
    <n v="3"/>
  </r>
  <r>
    <s v="CUST0353"/>
    <s v="Valerie Dunlap MD"/>
    <x v="0"/>
    <n v="20"/>
    <x v="0"/>
    <x v="0"/>
    <n v="22356"/>
    <x v="0"/>
    <d v="2019-09-19T00:00:00"/>
    <x v="2"/>
    <n v="6"/>
    <x v="1"/>
    <x v="2"/>
    <x v="6"/>
    <s v="Gen Z"/>
    <n v="1"/>
  </r>
  <r>
    <s v="CUST0354"/>
    <s v="Kathleen Richardson"/>
    <x v="1"/>
    <n v="62"/>
    <x v="3"/>
    <x v="0"/>
    <n v="90326"/>
    <x v="1"/>
    <d v="2019-10-20T00:00:00"/>
    <x v="3"/>
    <n v="6"/>
    <x v="1"/>
    <x v="2"/>
    <x v="6"/>
    <s v="Boomers"/>
    <n v="4"/>
  </r>
  <r>
    <s v="CUST0355"/>
    <s v="Rebecca Doyle"/>
    <x v="1"/>
    <n v="30"/>
    <x v="2"/>
    <x v="2"/>
    <n v="112447"/>
    <x v="0"/>
    <d v="2020-01-17T00:00:00"/>
    <x v="0"/>
    <n v="6"/>
    <x v="1"/>
    <x v="1"/>
    <x v="9"/>
    <s v="Millenials"/>
    <n v="2"/>
  </r>
  <r>
    <s v="CUST0356"/>
    <s v="Tyler Harris"/>
    <x v="0"/>
    <n v="67"/>
    <x v="2"/>
    <x v="3"/>
    <n v="134994"/>
    <x v="1"/>
    <d v="2018-10-01T00:00:00"/>
    <x v="3"/>
    <n v="7"/>
    <x v="1"/>
    <x v="1"/>
    <x v="2"/>
    <s v="Boomers"/>
    <n v="4"/>
  </r>
  <r>
    <s v="CUST0357"/>
    <s v="Jordan Bates"/>
    <x v="1"/>
    <n v="45"/>
    <x v="3"/>
    <x v="1"/>
    <n v="40049"/>
    <x v="0"/>
    <d v="2020-12-25T00:00:00"/>
    <x v="1"/>
    <n v="5"/>
    <x v="1"/>
    <x v="2"/>
    <x v="9"/>
    <s v="Gen X"/>
    <n v="3"/>
  </r>
  <r>
    <s v="CUST0358"/>
    <s v="Susan Walsh"/>
    <x v="1"/>
    <n v="37"/>
    <x v="3"/>
    <x v="1"/>
    <n v="125361"/>
    <x v="0"/>
    <d v="2021-05-26T00:00:00"/>
    <x v="0"/>
    <n v="5"/>
    <x v="1"/>
    <x v="1"/>
    <x v="1"/>
    <s v="Millenials"/>
    <n v="2"/>
  </r>
  <r>
    <s v="CUST0359"/>
    <s v="Zachary Knapp"/>
    <x v="0"/>
    <n v="45"/>
    <x v="0"/>
    <x v="0"/>
    <n v="36082"/>
    <x v="1"/>
    <d v="2023-01-28T00:00:00"/>
    <x v="1"/>
    <n v="3"/>
    <x v="0"/>
    <x v="2"/>
    <x v="0"/>
    <s v="Gen X"/>
    <n v="3"/>
  </r>
  <r>
    <s v="CUST0360"/>
    <s v="Alfred Griffith"/>
    <x v="0"/>
    <n v="25"/>
    <x v="2"/>
    <x v="4"/>
    <n v="20661"/>
    <x v="0"/>
    <d v="2022-09-15T00:00:00"/>
    <x v="2"/>
    <n v="3"/>
    <x v="0"/>
    <x v="2"/>
    <x v="8"/>
    <s v="Gen Z"/>
    <n v="1"/>
  </r>
  <r>
    <s v="CUST0361"/>
    <s v="Jack Smith"/>
    <x v="1"/>
    <n v="58"/>
    <x v="1"/>
    <x v="4"/>
    <n v="188484"/>
    <x v="0"/>
    <d v="2024-04-10T00:00:00"/>
    <x v="1"/>
    <n v="2"/>
    <x v="0"/>
    <x v="0"/>
    <x v="5"/>
    <s v="Gen X"/>
    <n v="3"/>
  </r>
  <r>
    <s v="CUST0362"/>
    <s v="Arthur Green"/>
    <x v="0"/>
    <n v="56"/>
    <x v="0"/>
    <x v="2"/>
    <n v="22920"/>
    <x v="0"/>
    <d v="2015-10-18T00:00:00"/>
    <x v="1"/>
    <n v="10"/>
    <x v="2"/>
    <x v="2"/>
    <x v="10"/>
    <s v="Gen X"/>
    <n v="3"/>
  </r>
  <r>
    <s v="CUST0363"/>
    <s v="William Fuller"/>
    <x v="0"/>
    <n v="18"/>
    <x v="3"/>
    <x v="1"/>
    <n v="99561"/>
    <x v="2"/>
    <d v="2016-07-30T00:00:00"/>
    <x v="2"/>
    <n v="9"/>
    <x v="2"/>
    <x v="2"/>
    <x v="3"/>
    <s v="Gen Z"/>
    <n v="1"/>
  </r>
  <r>
    <s v="CUST0364"/>
    <s v="Jeffrey Long"/>
    <x v="1"/>
    <n v="20"/>
    <x v="2"/>
    <x v="0"/>
    <n v="28946"/>
    <x v="1"/>
    <d v="2016-03-13T00:00:00"/>
    <x v="2"/>
    <n v="10"/>
    <x v="2"/>
    <x v="2"/>
    <x v="3"/>
    <s v="Gen Z"/>
    <n v="1"/>
  </r>
  <r>
    <s v="CUST0365"/>
    <s v="Andrea Turner"/>
    <x v="0"/>
    <n v="30"/>
    <x v="1"/>
    <x v="3"/>
    <n v="196572"/>
    <x v="0"/>
    <d v="2024-11-11T00:00:00"/>
    <x v="0"/>
    <n v="1"/>
    <x v="3"/>
    <x v="0"/>
    <x v="5"/>
    <s v="Millenials"/>
    <n v="2"/>
  </r>
  <r>
    <s v="CUST0366"/>
    <s v="Gregory Lee"/>
    <x v="0"/>
    <n v="45"/>
    <x v="1"/>
    <x v="1"/>
    <n v="36309"/>
    <x v="0"/>
    <d v="2019-11-04T00:00:00"/>
    <x v="1"/>
    <n v="6"/>
    <x v="1"/>
    <x v="2"/>
    <x v="6"/>
    <s v="Gen X"/>
    <n v="3"/>
  </r>
  <r>
    <s v="CUST0367"/>
    <s v="David Hatfield"/>
    <x v="1"/>
    <n v="74"/>
    <x v="0"/>
    <x v="0"/>
    <n v="75230"/>
    <x v="0"/>
    <d v="2019-11-26T00:00:00"/>
    <x v="3"/>
    <n v="6"/>
    <x v="1"/>
    <x v="2"/>
    <x v="6"/>
    <s v="Boomers"/>
    <n v="4"/>
  </r>
  <r>
    <s v="CUST0368"/>
    <s v="Scott Jackson"/>
    <x v="1"/>
    <n v="66"/>
    <x v="2"/>
    <x v="0"/>
    <n v="131822"/>
    <x v="1"/>
    <d v="2019-12-12T00:00:00"/>
    <x v="3"/>
    <n v="6"/>
    <x v="1"/>
    <x v="1"/>
    <x v="6"/>
    <s v="Boomers"/>
    <n v="4"/>
  </r>
  <r>
    <s v="CUST0369"/>
    <s v="Heather Davis"/>
    <x v="0"/>
    <n v="42"/>
    <x v="2"/>
    <x v="5"/>
    <n v="181099"/>
    <x v="1"/>
    <d v="2023-01-28T00:00:00"/>
    <x v="0"/>
    <n v="3"/>
    <x v="0"/>
    <x v="0"/>
    <x v="0"/>
    <s v="Millenials"/>
    <n v="2"/>
  </r>
  <r>
    <s v="CUST0370"/>
    <s v="Brooke Hayes"/>
    <x v="0"/>
    <n v="73"/>
    <x v="3"/>
    <x v="3"/>
    <n v="132340"/>
    <x v="0"/>
    <d v="2016-06-24T00:00:00"/>
    <x v="3"/>
    <n v="10"/>
    <x v="2"/>
    <x v="1"/>
    <x v="3"/>
    <s v="Boomers"/>
    <n v="4"/>
  </r>
  <r>
    <s v="CUST0371"/>
    <s v="Kaitlyn Johnson"/>
    <x v="1"/>
    <n v="50"/>
    <x v="2"/>
    <x v="5"/>
    <n v="79321"/>
    <x v="0"/>
    <d v="2017-11-08T00:00:00"/>
    <x v="1"/>
    <n v="8"/>
    <x v="2"/>
    <x v="2"/>
    <x v="4"/>
    <s v="Gen X"/>
    <n v="3"/>
  </r>
  <r>
    <s v="CUST0372"/>
    <s v="Daisy Casey"/>
    <x v="1"/>
    <n v="55"/>
    <x v="2"/>
    <x v="2"/>
    <n v="152028"/>
    <x v="0"/>
    <d v="2022-07-03T00:00:00"/>
    <x v="1"/>
    <n v="4"/>
    <x v="1"/>
    <x v="0"/>
    <x v="8"/>
    <s v="Gen X"/>
    <n v="3"/>
  </r>
  <r>
    <s v="CUST0373"/>
    <s v="Melvin Wells"/>
    <x v="1"/>
    <n v="70"/>
    <x v="0"/>
    <x v="5"/>
    <n v="94131"/>
    <x v="1"/>
    <d v="2024-07-28T00:00:00"/>
    <x v="3"/>
    <n v="1"/>
    <x v="3"/>
    <x v="2"/>
    <x v="5"/>
    <s v="Boomers"/>
    <n v="4"/>
  </r>
  <r>
    <s v="CUST0374"/>
    <s v="Jacqueline Russell"/>
    <x v="1"/>
    <n v="23"/>
    <x v="2"/>
    <x v="6"/>
    <n v="198980"/>
    <x v="1"/>
    <d v="2019-10-12T00:00:00"/>
    <x v="2"/>
    <n v="6"/>
    <x v="1"/>
    <x v="0"/>
    <x v="6"/>
    <s v="Gen Z"/>
    <n v="1"/>
  </r>
  <r>
    <s v="CUST0375"/>
    <s v="Paul Stephens"/>
    <x v="0"/>
    <n v="61"/>
    <x v="1"/>
    <x v="5"/>
    <n v="45963"/>
    <x v="0"/>
    <d v="2022-08-25T00:00:00"/>
    <x v="3"/>
    <n v="3"/>
    <x v="0"/>
    <x v="2"/>
    <x v="8"/>
    <s v="Boomers"/>
    <n v="4"/>
  </r>
  <r>
    <s v="CUST0376"/>
    <s v="Angela Jackson"/>
    <x v="1"/>
    <n v="62"/>
    <x v="0"/>
    <x v="6"/>
    <n v="121757"/>
    <x v="0"/>
    <d v="2015-10-07T00:00:00"/>
    <x v="3"/>
    <n v="10"/>
    <x v="2"/>
    <x v="1"/>
    <x v="10"/>
    <s v="Boomers"/>
    <n v="4"/>
  </r>
  <r>
    <s v="CUST0377"/>
    <s v="Ashley Hayes"/>
    <x v="1"/>
    <n v="49"/>
    <x v="0"/>
    <x v="1"/>
    <n v="190515"/>
    <x v="0"/>
    <d v="2022-12-23T00:00:00"/>
    <x v="1"/>
    <n v="3"/>
    <x v="0"/>
    <x v="0"/>
    <x v="8"/>
    <s v="Gen X"/>
    <n v="3"/>
  </r>
  <r>
    <s v="CUST0378"/>
    <s v="Claudia Casey"/>
    <x v="0"/>
    <n v="62"/>
    <x v="3"/>
    <x v="4"/>
    <n v="119259"/>
    <x v="2"/>
    <d v="2016-12-27T00:00:00"/>
    <x v="3"/>
    <n v="9"/>
    <x v="2"/>
    <x v="1"/>
    <x v="3"/>
    <s v="Boomers"/>
    <n v="4"/>
  </r>
  <r>
    <s v="CUST0379"/>
    <s v="Jay Jackson"/>
    <x v="1"/>
    <n v="64"/>
    <x v="2"/>
    <x v="0"/>
    <n v="59063"/>
    <x v="0"/>
    <d v="2023-02-15T00:00:00"/>
    <x v="3"/>
    <n v="3"/>
    <x v="0"/>
    <x v="2"/>
    <x v="0"/>
    <s v="Boomers"/>
    <n v="4"/>
  </r>
  <r>
    <s v="CUST0380"/>
    <s v="Brandon Morales"/>
    <x v="0"/>
    <n v="38"/>
    <x v="3"/>
    <x v="6"/>
    <n v="134225"/>
    <x v="1"/>
    <d v="2021-12-08T00:00:00"/>
    <x v="0"/>
    <n v="4"/>
    <x v="1"/>
    <x v="1"/>
    <x v="1"/>
    <s v="Millenials"/>
    <n v="2"/>
  </r>
  <r>
    <s v="CUST0381"/>
    <s v="Timothy Mcknight"/>
    <x v="1"/>
    <n v="33"/>
    <x v="1"/>
    <x v="3"/>
    <n v="136400"/>
    <x v="1"/>
    <d v="2018-12-29T00:00:00"/>
    <x v="0"/>
    <n v="7"/>
    <x v="1"/>
    <x v="1"/>
    <x v="2"/>
    <s v="Millenials"/>
    <n v="2"/>
  </r>
  <r>
    <s v="CUST0382"/>
    <s v="Wendy Hodge"/>
    <x v="1"/>
    <n v="71"/>
    <x v="0"/>
    <x v="5"/>
    <n v="100818"/>
    <x v="0"/>
    <d v="2020-06-13T00:00:00"/>
    <x v="3"/>
    <n v="6"/>
    <x v="1"/>
    <x v="1"/>
    <x v="9"/>
    <s v="Boomers"/>
    <n v="4"/>
  </r>
  <r>
    <s v="CUST0383"/>
    <s v="Aaron Hernandez"/>
    <x v="1"/>
    <n v="38"/>
    <x v="0"/>
    <x v="6"/>
    <n v="24703"/>
    <x v="0"/>
    <d v="2022-12-01T00:00:00"/>
    <x v="0"/>
    <n v="3"/>
    <x v="0"/>
    <x v="2"/>
    <x v="8"/>
    <s v="Millenials"/>
    <n v="2"/>
  </r>
  <r>
    <s v="CUST0384"/>
    <s v="Erik Baldwin"/>
    <x v="0"/>
    <n v="28"/>
    <x v="0"/>
    <x v="3"/>
    <n v="92099"/>
    <x v="0"/>
    <d v="2021-08-02T00:00:00"/>
    <x v="2"/>
    <n v="4"/>
    <x v="1"/>
    <x v="2"/>
    <x v="1"/>
    <s v="Gen Z"/>
    <n v="1"/>
  </r>
  <r>
    <s v="CUST0385"/>
    <s v="Michael West"/>
    <x v="0"/>
    <n v="54"/>
    <x v="1"/>
    <x v="4"/>
    <n v="176921"/>
    <x v="1"/>
    <d v="2022-11-24T00:00:00"/>
    <x v="1"/>
    <n v="3"/>
    <x v="0"/>
    <x v="0"/>
    <x v="8"/>
    <s v="Gen X"/>
    <n v="3"/>
  </r>
  <r>
    <s v="CUST0386"/>
    <s v="Megan Davis"/>
    <x v="1"/>
    <n v="53"/>
    <x v="1"/>
    <x v="4"/>
    <n v="182932"/>
    <x v="1"/>
    <d v="2023-08-19T00:00:00"/>
    <x v="1"/>
    <n v="2"/>
    <x v="0"/>
    <x v="0"/>
    <x v="0"/>
    <s v="Gen X"/>
    <n v="3"/>
  </r>
  <r>
    <s v="CUST0387"/>
    <s v="Robert Barnes"/>
    <x v="0"/>
    <n v="52"/>
    <x v="3"/>
    <x v="5"/>
    <n v="51585"/>
    <x v="1"/>
    <d v="2019-04-22T00:00:00"/>
    <x v="1"/>
    <n v="7"/>
    <x v="1"/>
    <x v="2"/>
    <x v="6"/>
    <s v="Gen X"/>
    <n v="3"/>
  </r>
  <r>
    <s v="CUST0388"/>
    <s v="Zachary Schmidt"/>
    <x v="0"/>
    <n v="36"/>
    <x v="3"/>
    <x v="2"/>
    <n v="173087"/>
    <x v="0"/>
    <d v="2020-04-26T00:00:00"/>
    <x v="0"/>
    <n v="6"/>
    <x v="1"/>
    <x v="0"/>
    <x v="9"/>
    <s v="Millenials"/>
    <n v="2"/>
  </r>
  <r>
    <s v="CUST0389"/>
    <s v="Michael Mitchell"/>
    <x v="0"/>
    <n v="37"/>
    <x v="3"/>
    <x v="5"/>
    <n v="63585"/>
    <x v="0"/>
    <d v="2017-01-22T00:00:00"/>
    <x v="0"/>
    <n v="9"/>
    <x v="2"/>
    <x v="2"/>
    <x v="4"/>
    <s v="Millenials"/>
    <n v="2"/>
  </r>
  <r>
    <s v="CUST0390"/>
    <s v="John Dunlap"/>
    <x v="0"/>
    <n v="74"/>
    <x v="2"/>
    <x v="1"/>
    <n v="46958"/>
    <x v="2"/>
    <d v="2021-01-24T00:00:00"/>
    <x v="3"/>
    <n v="5"/>
    <x v="1"/>
    <x v="2"/>
    <x v="1"/>
    <s v="Boomers"/>
    <n v="4"/>
  </r>
  <r>
    <s v="CUST0391"/>
    <s v="Alexis Becker"/>
    <x v="0"/>
    <n v="35"/>
    <x v="0"/>
    <x v="6"/>
    <n v="46017"/>
    <x v="1"/>
    <d v="2017-07-15T00:00:00"/>
    <x v="0"/>
    <n v="8"/>
    <x v="2"/>
    <x v="2"/>
    <x v="4"/>
    <s v="Millenials"/>
    <n v="2"/>
  </r>
  <r>
    <s v="CUST0392"/>
    <s v="John Jacobs"/>
    <x v="0"/>
    <n v="64"/>
    <x v="0"/>
    <x v="0"/>
    <n v="144677"/>
    <x v="0"/>
    <d v="2018-11-18T00:00:00"/>
    <x v="3"/>
    <n v="7"/>
    <x v="1"/>
    <x v="1"/>
    <x v="2"/>
    <s v="Boomers"/>
    <n v="4"/>
  </r>
  <r>
    <s v="CUST0393"/>
    <s v="Tina Adams"/>
    <x v="1"/>
    <n v="58"/>
    <x v="3"/>
    <x v="2"/>
    <n v="196422"/>
    <x v="2"/>
    <d v="2021-12-15T00:00:00"/>
    <x v="1"/>
    <n v="4"/>
    <x v="1"/>
    <x v="0"/>
    <x v="1"/>
    <s v="Gen X"/>
    <n v="3"/>
  </r>
  <r>
    <s v="CUST0394"/>
    <s v="Daniel Moore"/>
    <x v="1"/>
    <n v="66"/>
    <x v="0"/>
    <x v="5"/>
    <n v="163273"/>
    <x v="1"/>
    <d v="2016-01-15T00:00:00"/>
    <x v="3"/>
    <n v="10"/>
    <x v="2"/>
    <x v="0"/>
    <x v="3"/>
    <s v="Boomers"/>
    <n v="4"/>
  </r>
  <r>
    <s v="CUST0395"/>
    <s v="Patricia Bush"/>
    <x v="0"/>
    <n v="31"/>
    <x v="3"/>
    <x v="3"/>
    <n v="49426"/>
    <x v="0"/>
    <d v="2024-03-21T00:00:00"/>
    <x v="0"/>
    <n v="2"/>
    <x v="0"/>
    <x v="2"/>
    <x v="5"/>
    <s v="Millenials"/>
    <n v="2"/>
  </r>
  <r>
    <s v="CUST0396"/>
    <s v="Daniel Bradley"/>
    <x v="1"/>
    <n v="32"/>
    <x v="2"/>
    <x v="2"/>
    <n v="37778"/>
    <x v="1"/>
    <d v="2022-06-02T00:00:00"/>
    <x v="0"/>
    <n v="4"/>
    <x v="1"/>
    <x v="2"/>
    <x v="8"/>
    <s v="Millenials"/>
    <n v="2"/>
  </r>
  <r>
    <s v="CUST0397"/>
    <s v="Amanda Walls"/>
    <x v="1"/>
    <n v="48"/>
    <x v="2"/>
    <x v="6"/>
    <n v="196313"/>
    <x v="1"/>
    <d v="2020-12-11T00:00:00"/>
    <x v="1"/>
    <n v="5"/>
    <x v="1"/>
    <x v="0"/>
    <x v="9"/>
    <s v="Gen X"/>
    <n v="3"/>
  </r>
  <r>
    <s v="CUST0398"/>
    <s v="Elizabeth Green"/>
    <x v="1"/>
    <n v="18"/>
    <x v="1"/>
    <x v="2"/>
    <n v="62229"/>
    <x v="1"/>
    <d v="2023-08-22T00:00:00"/>
    <x v="2"/>
    <n v="2"/>
    <x v="0"/>
    <x v="2"/>
    <x v="0"/>
    <s v="Gen Z"/>
    <n v="1"/>
  </r>
  <r>
    <s v="CUST0399"/>
    <s v="Kevin Hughes"/>
    <x v="1"/>
    <n v="70"/>
    <x v="2"/>
    <x v="6"/>
    <n v="106652"/>
    <x v="0"/>
    <d v="2025-02-14T00:00:00"/>
    <x v="3"/>
    <n v="1"/>
    <x v="3"/>
    <x v="1"/>
    <x v="7"/>
    <s v="Boomers"/>
    <n v="4"/>
  </r>
  <r>
    <s v="CUST0400"/>
    <s v="Timothy Brewer MD"/>
    <x v="0"/>
    <n v="71"/>
    <x v="3"/>
    <x v="5"/>
    <n v="148267"/>
    <x v="0"/>
    <d v="2017-02-23T00:00:00"/>
    <x v="3"/>
    <n v="9"/>
    <x v="2"/>
    <x v="1"/>
    <x v="4"/>
    <s v="Boomers"/>
    <n v="4"/>
  </r>
  <r>
    <s v="CUST0401"/>
    <s v="Kelsey Rodriguez"/>
    <x v="1"/>
    <n v="71"/>
    <x v="2"/>
    <x v="6"/>
    <n v="199436"/>
    <x v="2"/>
    <d v="2020-09-26T00:00:00"/>
    <x v="3"/>
    <n v="5"/>
    <x v="1"/>
    <x v="0"/>
    <x v="9"/>
    <s v="Boomers"/>
    <n v="4"/>
  </r>
  <r>
    <s v="CUST0402"/>
    <s v="Brandon Dominguez"/>
    <x v="1"/>
    <n v="20"/>
    <x v="1"/>
    <x v="2"/>
    <n v="146503"/>
    <x v="0"/>
    <d v="2021-04-24T00:00:00"/>
    <x v="2"/>
    <n v="5"/>
    <x v="1"/>
    <x v="1"/>
    <x v="1"/>
    <s v="Gen Z"/>
    <n v="1"/>
  </r>
  <r>
    <s v="CUST0403"/>
    <s v="Amy Moreno"/>
    <x v="0"/>
    <n v="33"/>
    <x v="0"/>
    <x v="3"/>
    <n v="104878"/>
    <x v="0"/>
    <d v="2019-02-27T00:00:00"/>
    <x v="0"/>
    <n v="7"/>
    <x v="1"/>
    <x v="1"/>
    <x v="6"/>
    <s v="Millenials"/>
    <n v="2"/>
  </r>
  <r>
    <s v="CUST0404"/>
    <s v="Jessica Lee"/>
    <x v="0"/>
    <n v="40"/>
    <x v="3"/>
    <x v="4"/>
    <n v="77056"/>
    <x v="0"/>
    <d v="2021-03-13T00:00:00"/>
    <x v="0"/>
    <n v="5"/>
    <x v="1"/>
    <x v="2"/>
    <x v="1"/>
    <s v="Millenials"/>
    <n v="2"/>
  </r>
  <r>
    <s v="CUST0405"/>
    <s v="Morgan Douglas"/>
    <x v="1"/>
    <n v="74"/>
    <x v="0"/>
    <x v="2"/>
    <n v="178562"/>
    <x v="0"/>
    <d v="2023-11-16T00:00:00"/>
    <x v="3"/>
    <n v="2"/>
    <x v="0"/>
    <x v="0"/>
    <x v="0"/>
    <s v="Boomers"/>
    <n v="4"/>
  </r>
  <r>
    <s v="CUST0406"/>
    <s v="Katherine Freeman"/>
    <x v="1"/>
    <n v="28"/>
    <x v="1"/>
    <x v="6"/>
    <n v="39975"/>
    <x v="1"/>
    <d v="2022-12-07T00:00:00"/>
    <x v="2"/>
    <n v="3"/>
    <x v="0"/>
    <x v="2"/>
    <x v="8"/>
    <s v="Gen Z"/>
    <n v="1"/>
  </r>
  <r>
    <s v="CUST0407"/>
    <s v="Tammy Jackson"/>
    <x v="1"/>
    <n v="29"/>
    <x v="1"/>
    <x v="4"/>
    <n v="177795"/>
    <x v="2"/>
    <d v="2017-12-28T00:00:00"/>
    <x v="0"/>
    <n v="8"/>
    <x v="2"/>
    <x v="0"/>
    <x v="4"/>
    <s v="Millenials"/>
    <n v="2"/>
  </r>
  <r>
    <s v="CUST0408"/>
    <s v="Roger Koch"/>
    <x v="1"/>
    <n v="27"/>
    <x v="1"/>
    <x v="6"/>
    <n v="174351"/>
    <x v="0"/>
    <d v="2016-07-20T00:00:00"/>
    <x v="2"/>
    <n v="9"/>
    <x v="2"/>
    <x v="0"/>
    <x v="3"/>
    <s v="Gen Z"/>
    <n v="1"/>
  </r>
  <r>
    <s v="CUST0409"/>
    <s v="Shannon Moss"/>
    <x v="1"/>
    <n v="49"/>
    <x v="0"/>
    <x v="3"/>
    <n v="162633"/>
    <x v="0"/>
    <d v="2019-09-13T00:00:00"/>
    <x v="1"/>
    <n v="6"/>
    <x v="1"/>
    <x v="0"/>
    <x v="6"/>
    <s v="Gen X"/>
    <n v="3"/>
  </r>
  <r>
    <s v="CUST0410"/>
    <s v="Shelley Moss"/>
    <x v="1"/>
    <n v="33"/>
    <x v="0"/>
    <x v="6"/>
    <n v="108397"/>
    <x v="0"/>
    <d v="2016-08-05T00:00:00"/>
    <x v="0"/>
    <n v="9"/>
    <x v="2"/>
    <x v="1"/>
    <x v="3"/>
    <s v="Millenials"/>
    <n v="2"/>
  </r>
  <r>
    <s v="CUST0411"/>
    <s v="Darren Morgan"/>
    <x v="0"/>
    <n v="25"/>
    <x v="0"/>
    <x v="5"/>
    <n v="53142"/>
    <x v="1"/>
    <d v="2018-11-07T00:00:00"/>
    <x v="2"/>
    <n v="7"/>
    <x v="1"/>
    <x v="2"/>
    <x v="2"/>
    <s v="Gen Z"/>
    <n v="1"/>
  </r>
  <r>
    <s v="CUST0412"/>
    <s v="Jackie Bell"/>
    <x v="1"/>
    <n v="55"/>
    <x v="0"/>
    <x v="0"/>
    <n v="46916"/>
    <x v="1"/>
    <d v="2024-11-12T00:00:00"/>
    <x v="1"/>
    <n v="1"/>
    <x v="3"/>
    <x v="2"/>
    <x v="5"/>
    <s v="Gen X"/>
    <n v="3"/>
  </r>
  <r>
    <s v="CUST0413"/>
    <s v="Kristen Petersen"/>
    <x v="1"/>
    <n v="29"/>
    <x v="1"/>
    <x v="2"/>
    <n v="84324"/>
    <x v="0"/>
    <d v="2023-02-08T00:00:00"/>
    <x v="0"/>
    <n v="3"/>
    <x v="0"/>
    <x v="2"/>
    <x v="0"/>
    <s v="Millenials"/>
    <n v="2"/>
  </r>
  <r>
    <s v="CUST0414"/>
    <s v="Jennifer Mercado"/>
    <x v="0"/>
    <n v="41"/>
    <x v="1"/>
    <x v="0"/>
    <n v="196037"/>
    <x v="1"/>
    <d v="2016-03-28T00:00:00"/>
    <x v="0"/>
    <n v="10"/>
    <x v="2"/>
    <x v="0"/>
    <x v="3"/>
    <s v="Millenials"/>
    <n v="2"/>
  </r>
  <r>
    <s v="CUST0415"/>
    <s v="Kyle Rodriguez"/>
    <x v="0"/>
    <n v="45"/>
    <x v="3"/>
    <x v="6"/>
    <n v="145932"/>
    <x v="1"/>
    <d v="2025-08-15T00:00:00"/>
    <x v="1"/>
    <n v="0"/>
    <x v="3"/>
    <x v="1"/>
    <x v="7"/>
    <s v="Gen X"/>
    <n v="3"/>
  </r>
  <r>
    <s v="CUST0416"/>
    <s v="Jose Mayer"/>
    <x v="0"/>
    <n v="70"/>
    <x v="3"/>
    <x v="3"/>
    <n v="155720"/>
    <x v="1"/>
    <d v="2017-10-14T00:00:00"/>
    <x v="3"/>
    <n v="8"/>
    <x v="2"/>
    <x v="0"/>
    <x v="4"/>
    <s v="Boomers"/>
    <n v="4"/>
  </r>
  <r>
    <s v="CUST0417"/>
    <s v="Logan Fleming"/>
    <x v="0"/>
    <n v="25"/>
    <x v="0"/>
    <x v="2"/>
    <n v="186205"/>
    <x v="2"/>
    <d v="2024-10-30T00:00:00"/>
    <x v="2"/>
    <n v="1"/>
    <x v="3"/>
    <x v="0"/>
    <x v="5"/>
    <s v="Gen Z"/>
    <n v="1"/>
  </r>
  <r>
    <s v="CUST0418"/>
    <s v="Cameron Cox"/>
    <x v="1"/>
    <n v="45"/>
    <x v="2"/>
    <x v="6"/>
    <n v="116059"/>
    <x v="0"/>
    <d v="2018-11-28T00:00:00"/>
    <x v="1"/>
    <n v="7"/>
    <x v="1"/>
    <x v="1"/>
    <x v="2"/>
    <s v="Gen X"/>
    <n v="3"/>
  </r>
  <r>
    <s v="CUST0419"/>
    <s v="Kimberly Lopez"/>
    <x v="1"/>
    <n v="53"/>
    <x v="2"/>
    <x v="4"/>
    <n v="118317"/>
    <x v="1"/>
    <d v="2017-03-08T00:00:00"/>
    <x v="1"/>
    <n v="9"/>
    <x v="2"/>
    <x v="1"/>
    <x v="4"/>
    <s v="Gen X"/>
    <n v="3"/>
  </r>
  <r>
    <s v="CUST0420"/>
    <s v="James Edwards"/>
    <x v="1"/>
    <n v="43"/>
    <x v="1"/>
    <x v="1"/>
    <n v="55046"/>
    <x v="0"/>
    <d v="2021-04-27T00:00:00"/>
    <x v="0"/>
    <n v="5"/>
    <x v="1"/>
    <x v="2"/>
    <x v="1"/>
    <s v="Millenials"/>
    <n v="2"/>
  </r>
  <r>
    <s v="CUST0421"/>
    <s v="Jon Russell"/>
    <x v="1"/>
    <n v="25"/>
    <x v="1"/>
    <x v="6"/>
    <n v="198136"/>
    <x v="1"/>
    <d v="2016-07-14T00:00:00"/>
    <x v="2"/>
    <n v="9"/>
    <x v="2"/>
    <x v="0"/>
    <x v="3"/>
    <s v="Gen Z"/>
    <n v="1"/>
  </r>
  <r>
    <s v="CUST0422"/>
    <s v="Amanda Thompson"/>
    <x v="1"/>
    <n v="67"/>
    <x v="1"/>
    <x v="0"/>
    <n v="121459"/>
    <x v="1"/>
    <d v="2021-11-23T00:00:00"/>
    <x v="3"/>
    <n v="4"/>
    <x v="1"/>
    <x v="1"/>
    <x v="1"/>
    <s v="Boomers"/>
    <n v="4"/>
  </r>
  <r>
    <s v="CUST0423"/>
    <s v="Matthew Martinez"/>
    <x v="1"/>
    <n v="45"/>
    <x v="3"/>
    <x v="2"/>
    <n v="65893"/>
    <x v="1"/>
    <d v="2021-11-13T00:00:00"/>
    <x v="1"/>
    <n v="4"/>
    <x v="1"/>
    <x v="2"/>
    <x v="1"/>
    <s v="Gen X"/>
    <n v="3"/>
  </r>
  <r>
    <s v="CUST0424"/>
    <s v="Matthew Martinez"/>
    <x v="0"/>
    <n v="45"/>
    <x v="3"/>
    <x v="0"/>
    <n v="121520"/>
    <x v="1"/>
    <d v="2020-10-07T00:00:00"/>
    <x v="1"/>
    <n v="5"/>
    <x v="1"/>
    <x v="1"/>
    <x v="9"/>
    <s v="Gen X"/>
    <n v="3"/>
  </r>
  <r>
    <s v="CUST0425"/>
    <s v="Gregory Scott"/>
    <x v="1"/>
    <n v="54"/>
    <x v="1"/>
    <x v="2"/>
    <n v="145818"/>
    <x v="0"/>
    <d v="2017-07-01T00:00:00"/>
    <x v="1"/>
    <n v="9"/>
    <x v="2"/>
    <x v="1"/>
    <x v="4"/>
    <s v="Gen X"/>
    <n v="3"/>
  </r>
  <r>
    <s v="CUST0426"/>
    <s v="Michele Wood"/>
    <x v="0"/>
    <n v="58"/>
    <x v="1"/>
    <x v="6"/>
    <n v="81272"/>
    <x v="0"/>
    <d v="2017-01-12T00:00:00"/>
    <x v="1"/>
    <n v="9"/>
    <x v="2"/>
    <x v="2"/>
    <x v="4"/>
    <s v="Gen X"/>
    <n v="3"/>
  </r>
  <r>
    <s v="CUST0427"/>
    <s v="Juan Reed"/>
    <x v="0"/>
    <n v="53"/>
    <x v="1"/>
    <x v="5"/>
    <n v="87649"/>
    <x v="2"/>
    <d v="2023-05-06T00:00:00"/>
    <x v="1"/>
    <n v="3"/>
    <x v="0"/>
    <x v="2"/>
    <x v="0"/>
    <s v="Gen X"/>
    <n v="3"/>
  </r>
  <r>
    <s v="CUST0428"/>
    <s v="Michelle Lyons"/>
    <x v="1"/>
    <n v="44"/>
    <x v="2"/>
    <x v="4"/>
    <n v="84674"/>
    <x v="2"/>
    <d v="2019-06-01T00:00:00"/>
    <x v="0"/>
    <n v="7"/>
    <x v="1"/>
    <x v="2"/>
    <x v="6"/>
    <s v="Millenials"/>
    <n v="2"/>
  </r>
  <r>
    <s v="CUST0429"/>
    <s v="Courtney Carr"/>
    <x v="0"/>
    <n v="71"/>
    <x v="3"/>
    <x v="6"/>
    <n v="164832"/>
    <x v="0"/>
    <d v="2017-08-24T00:00:00"/>
    <x v="3"/>
    <n v="8"/>
    <x v="2"/>
    <x v="0"/>
    <x v="4"/>
    <s v="Boomers"/>
    <n v="4"/>
  </r>
  <r>
    <s v="CUST0430"/>
    <s v="Mary Clark"/>
    <x v="1"/>
    <n v="34"/>
    <x v="2"/>
    <x v="0"/>
    <n v="172999"/>
    <x v="0"/>
    <d v="2017-06-08T00:00:00"/>
    <x v="0"/>
    <n v="9"/>
    <x v="2"/>
    <x v="0"/>
    <x v="4"/>
    <s v="Millenials"/>
    <n v="2"/>
  </r>
  <r>
    <s v="CUST0431"/>
    <s v="Dana Robinson"/>
    <x v="0"/>
    <n v="26"/>
    <x v="2"/>
    <x v="1"/>
    <n v="106475"/>
    <x v="0"/>
    <d v="2023-07-26T00:00:00"/>
    <x v="2"/>
    <n v="2"/>
    <x v="0"/>
    <x v="1"/>
    <x v="0"/>
    <s v="Gen Z"/>
    <n v="1"/>
  </r>
  <r>
    <s v="CUST0432"/>
    <s v="Zachary Vasquez"/>
    <x v="1"/>
    <n v="50"/>
    <x v="1"/>
    <x v="1"/>
    <n v="81367"/>
    <x v="1"/>
    <d v="2017-06-01T00:00:00"/>
    <x v="1"/>
    <n v="9"/>
    <x v="2"/>
    <x v="2"/>
    <x v="4"/>
    <s v="Gen X"/>
    <n v="3"/>
  </r>
  <r>
    <s v="CUST0433"/>
    <s v="Brendan Shepard MD"/>
    <x v="0"/>
    <n v="70"/>
    <x v="1"/>
    <x v="3"/>
    <n v="163660"/>
    <x v="1"/>
    <d v="2019-11-05T00:00:00"/>
    <x v="3"/>
    <n v="6"/>
    <x v="1"/>
    <x v="0"/>
    <x v="6"/>
    <s v="Boomers"/>
    <n v="4"/>
  </r>
  <r>
    <s v="CUST0434"/>
    <s v="Elizabeth Sanford"/>
    <x v="1"/>
    <n v="37"/>
    <x v="0"/>
    <x v="2"/>
    <n v="141750"/>
    <x v="0"/>
    <d v="2019-05-14T00:00:00"/>
    <x v="0"/>
    <n v="7"/>
    <x v="1"/>
    <x v="1"/>
    <x v="6"/>
    <s v="Millenials"/>
    <n v="2"/>
  </r>
  <r>
    <s v="CUST0435"/>
    <s v="Jennifer Jenkins"/>
    <x v="1"/>
    <n v="30"/>
    <x v="0"/>
    <x v="0"/>
    <n v="138154"/>
    <x v="0"/>
    <d v="2022-12-01T00:00:00"/>
    <x v="0"/>
    <n v="3"/>
    <x v="0"/>
    <x v="1"/>
    <x v="8"/>
    <s v="Millenials"/>
    <n v="2"/>
  </r>
  <r>
    <s v="CUST0436"/>
    <s v="Victor Tran"/>
    <x v="1"/>
    <n v="45"/>
    <x v="2"/>
    <x v="3"/>
    <n v="64738"/>
    <x v="1"/>
    <d v="2019-10-22T00:00:00"/>
    <x v="1"/>
    <n v="6"/>
    <x v="1"/>
    <x v="2"/>
    <x v="6"/>
    <s v="Gen X"/>
    <n v="3"/>
  </r>
  <r>
    <s v="CUST0437"/>
    <s v="Scott Crosby"/>
    <x v="1"/>
    <n v="65"/>
    <x v="3"/>
    <x v="0"/>
    <n v="53397"/>
    <x v="1"/>
    <d v="2023-12-21T00:00:00"/>
    <x v="3"/>
    <n v="2"/>
    <x v="0"/>
    <x v="2"/>
    <x v="0"/>
    <s v="Boomers"/>
    <n v="4"/>
  </r>
  <r>
    <s v="CUST0438"/>
    <s v="Monica Perez"/>
    <x v="1"/>
    <n v="46"/>
    <x v="1"/>
    <x v="2"/>
    <n v="102189"/>
    <x v="0"/>
    <d v="2023-04-21T00:00:00"/>
    <x v="1"/>
    <n v="3"/>
    <x v="0"/>
    <x v="1"/>
    <x v="0"/>
    <s v="Gen X"/>
    <n v="3"/>
  </r>
  <r>
    <s v="CUST0439"/>
    <s v="Mallory Miller"/>
    <x v="0"/>
    <n v="30"/>
    <x v="1"/>
    <x v="6"/>
    <n v="96367"/>
    <x v="0"/>
    <d v="2024-02-06T00:00:00"/>
    <x v="0"/>
    <n v="2"/>
    <x v="0"/>
    <x v="2"/>
    <x v="5"/>
    <s v="Millenials"/>
    <n v="2"/>
  </r>
  <r>
    <s v="CUST0440"/>
    <s v="Kyle Perry"/>
    <x v="0"/>
    <n v="63"/>
    <x v="2"/>
    <x v="6"/>
    <n v="140585"/>
    <x v="0"/>
    <d v="2018-06-23T00:00:00"/>
    <x v="3"/>
    <n v="8"/>
    <x v="2"/>
    <x v="1"/>
    <x v="2"/>
    <s v="Boomers"/>
    <n v="4"/>
  </r>
  <r>
    <s v="CUST0441"/>
    <s v="Emily Sellers"/>
    <x v="0"/>
    <n v="52"/>
    <x v="0"/>
    <x v="1"/>
    <n v="96619"/>
    <x v="0"/>
    <d v="2023-02-07T00:00:00"/>
    <x v="1"/>
    <n v="3"/>
    <x v="0"/>
    <x v="2"/>
    <x v="0"/>
    <s v="Gen X"/>
    <n v="3"/>
  </r>
  <r>
    <s v="CUST0442"/>
    <s v="Keith Rodriguez"/>
    <x v="1"/>
    <n v="23"/>
    <x v="3"/>
    <x v="6"/>
    <n v="131453"/>
    <x v="0"/>
    <d v="2022-05-11T00:00:00"/>
    <x v="2"/>
    <n v="4"/>
    <x v="1"/>
    <x v="1"/>
    <x v="8"/>
    <s v="Gen Z"/>
    <n v="1"/>
  </r>
  <r>
    <s v="CUST0443"/>
    <s v="Daniel Crawford"/>
    <x v="0"/>
    <n v="35"/>
    <x v="0"/>
    <x v="6"/>
    <n v="39816"/>
    <x v="1"/>
    <d v="2018-07-04T00:00:00"/>
    <x v="0"/>
    <n v="8"/>
    <x v="2"/>
    <x v="2"/>
    <x v="2"/>
    <s v="Millenials"/>
    <n v="2"/>
  </r>
  <r>
    <s v="CUST0444"/>
    <s v="Jason Smith"/>
    <x v="1"/>
    <n v="68"/>
    <x v="0"/>
    <x v="5"/>
    <n v="193312"/>
    <x v="1"/>
    <d v="2017-12-05T00:00:00"/>
    <x v="3"/>
    <n v="8"/>
    <x v="2"/>
    <x v="0"/>
    <x v="4"/>
    <s v="Boomers"/>
    <n v="4"/>
  </r>
  <r>
    <s v="CUST0445"/>
    <s v="Eric Goodwin"/>
    <x v="1"/>
    <n v="22"/>
    <x v="0"/>
    <x v="1"/>
    <n v="157348"/>
    <x v="1"/>
    <d v="2022-04-15T00:00:00"/>
    <x v="2"/>
    <n v="4"/>
    <x v="1"/>
    <x v="0"/>
    <x v="8"/>
    <s v="Gen Z"/>
    <n v="1"/>
  </r>
  <r>
    <s v="CUST0446"/>
    <s v="Jeffrey Grant"/>
    <x v="0"/>
    <n v="64"/>
    <x v="0"/>
    <x v="3"/>
    <n v="99530"/>
    <x v="1"/>
    <d v="2021-09-20T00:00:00"/>
    <x v="3"/>
    <n v="4"/>
    <x v="1"/>
    <x v="2"/>
    <x v="1"/>
    <s v="Boomers"/>
    <n v="4"/>
  </r>
  <r>
    <s v="CUST0447"/>
    <s v="Scott Wall"/>
    <x v="0"/>
    <n v="42"/>
    <x v="1"/>
    <x v="4"/>
    <n v="174571"/>
    <x v="0"/>
    <d v="2023-03-09T00:00:00"/>
    <x v="0"/>
    <n v="3"/>
    <x v="0"/>
    <x v="0"/>
    <x v="0"/>
    <s v="Millenials"/>
    <n v="2"/>
  </r>
  <r>
    <s v="CUST0448"/>
    <s v="Alexander Dunn"/>
    <x v="1"/>
    <n v="19"/>
    <x v="1"/>
    <x v="5"/>
    <n v="128856"/>
    <x v="0"/>
    <d v="2021-10-24T00:00:00"/>
    <x v="2"/>
    <n v="4"/>
    <x v="1"/>
    <x v="1"/>
    <x v="1"/>
    <s v="Gen Z"/>
    <n v="1"/>
  </r>
  <r>
    <s v="CUST0449"/>
    <s v="Heather Allen"/>
    <x v="0"/>
    <n v="27"/>
    <x v="0"/>
    <x v="3"/>
    <n v="91635"/>
    <x v="0"/>
    <d v="2020-07-20T00:00:00"/>
    <x v="2"/>
    <n v="5"/>
    <x v="1"/>
    <x v="2"/>
    <x v="9"/>
    <s v="Gen Z"/>
    <n v="1"/>
  </r>
  <r>
    <s v="CUST0450"/>
    <s v="Seth Kent"/>
    <x v="1"/>
    <n v="73"/>
    <x v="3"/>
    <x v="2"/>
    <n v="127803"/>
    <x v="0"/>
    <d v="2024-07-13T00:00:00"/>
    <x v="3"/>
    <n v="1"/>
    <x v="3"/>
    <x v="1"/>
    <x v="5"/>
    <s v="Boomers"/>
    <n v="4"/>
  </r>
  <r>
    <s v="CUST0451"/>
    <s v="Audrey Walters"/>
    <x v="1"/>
    <n v="47"/>
    <x v="2"/>
    <x v="5"/>
    <n v="55946"/>
    <x v="1"/>
    <d v="2016-07-29T00:00:00"/>
    <x v="1"/>
    <n v="9"/>
    <x v="2"/>
    <x v="2"/>
    <x v="3"/>
    <s v="Gen X"/>
    <n v="3"/>
  </r>
  <r>
    <s v="CUST0452"/>
    <s v="Mary Fletcher"/>
    <x v="1"/>
    <n v="67"/>
    <x v="3"/>
    <x v="3"/>
    <n v="75204"/>
    <x v="2"/>
    <d v="2024-04-30T00:00:00"/>
    <x v="3"/>
    <n v="2"/>
    <x v="0"/>
    <x v="2"/>
    <x v="5"/>
    <s v="Boomers"/>
    <n v="4"/>
  </r>
  <r>
    <s v="CUST0453"/>
    <s v="Renee Williams"/>
    <x v="1"/>
    <n v="62"/>
    <x v="3"/>
    <x v="2"/>
    <n v="35563"/>
    <x v="0"/>
    <d v="2019-07-23T00:00:00"/>
    <x v="3"/>
    <n v="6"/>
    <x v="1"/>
    <x v="2"/>
    <x v="6"/>
    <s v="Boomers"/>
    <n v="4"/>
  </r>
  <r>
    <s v="CUST0454"/>
    <s v="Ashley Young"/>
    <x v="1"/>
    <n v="22"/>
    <x v="3"/>
    <x v="1"/>
    <n v="112324"/>
    <x v="0"/>
    <d v="2017-12-05T00:00:00"/>
    <x v="2"/>
    <n v="8"/>
    <x v="2"/>
    <x v="1"/>
    <x v="4"/>
    <s v="Gen Z"/>
    <n v="1"/>
  </r>
  <r>
    <s v="CUST0455"/>
    <s v="Ralph Johnson"/>
    <x v="0"/>
    <n v="72"/>
    <x v="0"/>
    <x v="4"/>
    <n v="29847"/>
    <x v="1"/>
    <d v="2021-12-27T00:00:00"/>
    <x v="3"/>
    <n v="4"/>
    <x v="1"/>
    <x v="2"/>
    <x v="1"/>
    <s v="Boomers"/>
    <n v="4"/>
  </r>
  <r>
    <s v="CUST0456"/>
    <s v="Michael Kramer"/>
    <x v="0"/>
    <n v="73"/>
    <x v="1"/>
    <x v="2"/>
    <n v="46155"/>
    <x v="0"/>
    <d v="2016-01-17T00:00:00"/>
    <x v="3"/>
    <n v="10"/>
    <x v="2"/>
    <x v="2"/>
    <x v="3"/>
    <s v="Boomers"/>
    <n v="4"/>
  </r>
  <r>
    <s v="CUST0457"/>
    <s v="Edward Bell"/>
    <x v="1"/>
    <n v="50"/>
    <x v="3"/>
    <x v="6"/>
    <n v="99671"/>
    <x v="0"/>
    <d v="2016-02-16T00:00:00"/>
    <x v="1"/>
    <n v="10"/>
    <x v="2"/>
    <x v="2"/>
    <x v="3"/>
    <s v="Gen X"/>
    <n v="3"/>
  </r>
  <r>
    <s v="CUST0458"/>
    <s v="Steven Beltran"/>
    <x v="1"/>
    <n v="71"/>
    <x v="0"/>
    <x v="0"/>
    <n v="136891"/>
    <x v="1"/>
    <d v="2024-06-26T00:00:00"/>
    <x v="3"/>
    <n v="2"/>
    <x v="0"/>
    <x v="1"/>
    <x v="5"/>
    <s v="Boomers"/>
    <n v="4"/>
  </r>
  <r>
    <s v="CUST0459"/>
    <s v="Raymond Holmes"/>
    <x v="0"/>
    <n v="18"/>
    <x v="3"/>
    <x v="2"/>
    <n v="103310"/>
    <x v="1"/>
    <d v="2020-01-19T00:00:00"/>
    <x v="2"/>
    <n v="6"/>
    <x v="1"/>
    <x v="1"/>
    <x v="9"/>
    <s v="Gen Z"/>
    <n v="1"/>
  </r>
  <r>
    <s v="CUST0460"/>
    <s v="Katherine Cohen"/>
    <x v="0"/>
    <n v="35"/>
    <x v="3"/>
    <x v="2"/>
    <n v="169381"/>
    <x v="0"/>
    <d v="2021-06-10T00:00:00"/>
    <x v="0"/>
    <n v="5"/>
    <x v="1"/>
    <x v="0"/>
    <x v="1"/>
    <s v="Millenials"/>
    <n v="2"/>
  </r>
  <r>
    <s v="CUST0461"/>
    <s v="Tiffany Lam"/>
    <x v="1"/>
    <n v="49"/>
    <x v="0"/>
    <x v="4"/>
    <n v="151691"/>
    <x v="0"/>
    <d v="2018-10-28T00:00:00"/>
    <x v="1"/>
    <n v="7"/>
    <x v="1"/>
    <x v="0"/>
    <x v="2"/>
    <s v="Gen X"/>
    <n v="3"/>
  </r>
  <r>
    <s v="CUST0462"/>
    <s v="Lisa Strickland"/>
    <x v="0"/>
    <n v="64"/>
    <x v="1"/>
    <x v="0"/>
    <n v="54707"/>
    <x v="1"/>
    <d v="2019-09-18T00:00:00"/>
    <x v="3"/>
    <n v="6"/>
    <x v="1"/>
    <x v="2"/>
    <x v="6"/>
    <s v="Boomers"/>
    <n v="4"/>
  </r>
  <r>
    <s v="CUST0463"/>
    <s v="Dr. Heather White"/>
    <x v="1"/>
    <n v="66"/>
    <x v="1"/>
    <x v="6"/>
    <n v="171409"/>
    <x v="0"/>
    <d v="2024-07-11T00:00:00"/>
    <x v="3"/>
    <n v="1"/>
    <x v="3"/>
    <x v="0"/>
    <x v="5"/>
    <s v="Boomers"/>
    <n v="4"/>
  </r>
  <r>
    <s v="CUST0464"/>
    <s v="Diane Nelson"/>
    <x v="0"/>
    <n v="28"/>
    <x v="2"/>
    <x v="3"/>
    <n v="101537"/>
    <x v="0"/>
    <d v="2017-10-20T00:00:00"/>
    <x v="2"/>
    <n v="8"/>
    <x v="2"/>
    <x v="1"/>
    <x v="4"/>
    <s v="Gen Z"/>
    <n v="1"/>
  </r>
  <r>
    <s v="CUST0465"/>
    <s v="Janet Ray"/>
    <x v="1"/>
    <n v="38"/>
    <x v="0"/>
    <x v="3"/>
    <n v="198686"/>
    <x v="1"/>
    <d v="2025-05-24T00:00:00"/>
    <x v="0"/>
    <n v="1"/>
    <x v="3"/>
    <x v="0"/>
    <x v="7"/>
    <s v="Millenials"/>
    <n v="2"/>
  </r>
  <r>
    <s v="CUST0466"/>
    <s v="Tammy Taylor"/>
    <x v="0"/>
    <n v="43"/>
    <x v="2"/>
    <x v="2"/>
    <n v="111155"/>
    <x v="0"/>
    <d v="2022-07-03T00:00:00"/>
    <x v="0"/>
    <n v="4"/>
    <x v="1"/>
    <x v="1"/>
    <x v="8"/>
    <s v="Millenials"/>
    <n v="2"/>
  </r>
  <r>
    <s v="CUST0467"/>
    <s v="Dr. Christina Erickson"/>
    <x v="1"/>
    <n v="42"/>
    <x v="2"/>
    <x v="0"/>
    <n v="20281"/>
    <x v="1"/>
    <d v="2021-10-29T00:00:00"/>
    <x v="0"/>
    <n v="4"/>
    <x v="1"/>
    <x v="2"/>
    <x v="1"/>
    <s v="Millenials"/>
    <n v="2"/>
  </r>
  <r>
    <s v="CUST0468"/>
    <s v="Matthew Kane"/>
    <x v="0"/>
    <n v="39"/>
    <x v="2"/>
    <x v="0"/>
    <n v="178492"/>
    <x v="0"/>
    <d v="2024-01-28T00:00:00"/>
    <x v="0"/>
    <n v="2"/>
    <x v="0"/>
    <x v="0"/>
    <x v="5"/>
    <s v="Millenials"/>
    <n v="2"/>
  </r>
  <r>
    <s v="CUST0469"/>
    <s v="Michael Davies"/>
    <x v="0"/>
    <n v="44"/>
    <x v="1"/>
    <x v="6"/>
    <n v="190102"/>
    <x v="2"/>
    <d v="2017-08-07T00:00:00"/>
    <x v="0"/>
    <n v="8"/>
    <x v="2"/>
    <x v="0"/>
    <x v="4"/>
    <s v="Millenials"/>
    <n v="2"/>
  </r>
  <r>
    <s v="CUST0470"/>
    <s v="Jason Garcia"/>
    <x v="1"/>
    <n v="66"/>
    <x v="0"/>
    <x v="4"/>
    <n v="152130"/>
    <x v="0"/>
    <d v="2021-05-29T00:00:00"/>
    <x v="3"/>
    <n v="5"/>
    <x v="1"/>
    <x v="0"/>
    <x v="1"/>
    <s v="Boomers"/>
    <n v="4"/>
  </r>
  <r>
    <s v="CUST0471"/>
    <s v="Roger Johnson"/>
    <x v="0"/>
    <n v="30"/>
    <x v="2"/>
    <x v="1"/>
    <n v="96260"/>
    <x v="0"/>
    <d v="2025-01-07T00:00:00"/>
    <x v="0"/>
    <n v="1"/>
    <x v="3"/>
    <x v="2"/>
    <x v="7"/>
    <s v="Millenials"/>
    <n v="2"/>
  </r>
  <r>
    <s v="CUST0472"/>
    <s v="Anna Mitchell"/>
    <x v="1"/>
    <n v="50"/>
    <x v="0"/>
    <x v="3"/>
    <n v="179476"/>
    <x v="0"/>
    <d v="2018-09-26T00:00:00"/>
    <x v="1"/>
    <n v="7"/>
    <x v="1"/>
    <x v="0"/>
    <x v="2"/>
    <s v="Gen X"/>
    <n v="3"/>
  </r>
  <r>
    <s v="CUST0473"/>
    <s v="Tina Lowery"/>
    <x v="0"/>
    <n v="51"/>
    <x v="0"/>
    <x v="4"/>
    <n v="180928"/>
    <x v="0"/>
    <d v="2020-09-09T00:00:00"/>
    <x v="1"/>
    <n v="5"/>
    <x v="1"/>
    <x v="0"/>
    <x v="9"/>
    <s v="Gen X"/>
    <n v="3"/>
  </r>
  <r>
    <s v="CUST0474"/>
    <s v="Gregory Bauer"/>
    <x v="1"/>
    <n v="58"/>
    <x v="1"/>
    <x v="5"/>
    <n v="160272"/>
    <x v="1"/>
    <d v="2019-09-11T00:00:00"/>
    <x v="1"/>
    <n v="6"/>
    <x v="1"/>
    <x v="0"/>
    <x v="6"/>
    <s v="Gen X"/>
    <n v="3"/>
  </r>
  <r>
    <s v="CUST0475"/>
    <s v="Frank Le"/>
    <x v="0"/>
    <n v="52"/>
    <x v="2"/>
    <x v="3"/>
    <n v="84178"/>
    <x v="2"/>
    <d v="2020-10-19T00:00:00"/>
    <x v="1"/>
    <n v="5"/>
    <x v="1"/>
    <x v="2"/>
    <x v="9"/>
    <s v="Gen X"/>
    <n v="3"/>
  </r>
  <r>
    <s v="CUST0476"/>
    <s v="William Brown"/>
    <x v="1"/>
    <n v="18"/>
    <x v="2"/>
    <x v="4"/>
    <n v="53997"/>
    <x v="0"/>
    <d v="2019-01-23T00:00:00"/>
    <x v="2"/>
    <n v="7"/>
    <x v="1"/>
    <x v="2"/>
    <x v="6"/>
    <s v="Gen Z"/>
    <n v="1"/>
  </r>
  <r>
    <s v="CUST0477"/>
    <s v="Deborah King"/>
    <x v="0"/>
    <n v="38"/>
    <x v="0"/>
    <x v="3"/>
    <n v="176683"/>
    <x v="0"/>
    <d v="2015-11-17T00:00:00"/>
    <x v="0"/>
    <n v="10"/>
    <x v="2"/>
    <x v="0"/>
    <x v="10"/>
    <s v="Millenials"/>
    <n v="2"/>
  </r>
  <r>
    <s v="CUST0478"/>
    <s v="Louis Palmer"/>
    <x v="1"/>
    <n v="65"/>
    <x v="3"/>
    <x v="1"/>
    <n v="139273"/>
    <x v="1"/>
    <d v="2016-08-20T00:00:00"/>
    <x v="3"/>
    <n v="9"/>
    <x v="2"/>
    <x v="1"/>
    <x v="3"/>
    <s v="Boomers"/>
    <n v="4"/>
  </r>
  <r>
    <s v="CUST0479"/>
    <s v="David Watson"/>
    <x v="0"/>
    <n v="72"/>
    <x v="1"/>
    <x v="5"/>
    <n v="192307"/>
    <x v="1"/>
    <d v="2020-10-04T00:00:00"/>
    <x v="3"/>
    <n v="5"/>
    <x v="1"/>
    <x v="0"/>
    <x v="9"/>
    <s v="Boomers"/>
    <n v="4"/>
  </r>
  <r>
    <s v="CUST0480"/>
    <s v="Lisa Crawford"/>
    <x v="1"/>
    <n v="23"/>
    <x v="1"/>
    <x v="1"/>
    <n v="186129"/>
    <x v="0"/>
    <d v="2024-07-03T00:00:00"/>
    <x v="2"/>
    <n v="2"/>
    <x v="0"/>
    <x v="0"/>
    <x v="5"/>
    <s v="Gen Z"/>
    <n v="1"/>
  </r>
  <r>
    <s v="CUST0481"/>
    <s v="Carolyn Evans"/>
    <x v="1"/>
    <n v="45"/>
    <x v="1"/>
    <x v="6"/>
    <n v="152311"/>
    <x v="0"/>
    <d v="2016-02-11T00:00:00"/>
    <x v="1"/>
    <n v="10"/>
    <x v="2"/>
    <x v="0"/>
    <x v="3"/>
    <s v="Gen X"/>
    <n v="3"/>
  </r>
  <r>
    <s v="CUST0482"/>
    <s v="Thomas Johnson"/>
    <x v="1"/>
    <n v="34"/>
    <x v="1"/>
    <x v="5"/>
    <n v="146945"/>
    <x v="0"/>
    <d v="2019-03-29T00:00:00"/>
    <x v="0"/>
    <n v="7"/>
    <x v="1"/>
    <x v="1"/>
    <x v="6"/>
    <s v="Millenials"/>
    <n v="2"/>
  </r>
  <r>
    <s v="CUST0483"/>
    <s v="Rita Leonard"/>
    <x v="0"/>
    <n v="22"/>
    <x v="2"/>
    <x v="2"/>
    <n v="65272"/>
    <x v="1"/>
    <d v="2024-08-08T00:00:00"/>
    <x v="2"/>
    <n v="1"/>
    <x v="3"/>
    <x v="2"/>
    <x v="5"/>
    <s v="Gen Z"/>
    <n v="1"/>
  </r>
  <r>
    <s v="CUST0484"/>
    <s v="John Madden"/>
    <x v="1"/>
    <n v="48"/>
    <x v="2"/>
    <x v="4"/>
    <n v="109393"/>
    <x v="0"/>
    <d v="2023-06-10T00:00:00"/>
    <x v="1"/>
    <n v="3"/>
    <x v="0"/>
    <x v="1"/>
    <x v="0"/>
    <s v="Gen X"/>
    <n v="3"/>
  </r>
  <r>
    <s v="CUST0485"/>
    <s v="Christopher Hart"/>
    <x v="0"/>
    <n v="22"/>
    <x v="3"/>
    <x v="5"/>
    <n v="81212"/>
    <x v="1"/>
    <d v="2018-09-03T00:00:00"/>
    <x v="2"/>
    <n v="7"/>
    <x v="1"/>
    <x v="2"/>
    <x v="2"/>
    <s v="Gen Z"/>
    <n v="1"/>
  </r>
  <r>
    <s v="CUST0486"/>
    <s v="Ronald Craig"/>
    <x v="1"/>
    <n v="55"/>
    <x v="1"/>
    <x v="6"/>
    <n v="166470"/>
    <x v="0"/>
    <d v="2024-11-25T00:00:00"/>
    <x v="1"/>
    <n v="1"/>
    <x v="3"/>
    <x v="0"/>
    <x v="5"/>
    <s v="Gen X"/>
    <n v="3"/>
  </r>
  <r>
    <s v="CUST0487"/>
    <s v="Christina Young"/>
    <x v="0"/>
    <n v="20"/>
    <x v="1"/>
    <x v="6"/>
    <n v="140030"/>
    <x v="1"/>
    <d v="2023-02-18T00:00:00"/>
    <x v="2"/>
    <n v="3"/>
    <x v="0"/>
    <x v="1"/>
    <x v="0"/>
    <s v="Gen Z"/>
    <n v="1"/>
  </r>
  <r>
    <s v="CUST0488"/>
    <s v="Brendan Daniels"/>
    <x v="1"/>
    <n v="70"/>
    <x v="0"/>
    <x v="1"/>
    <n v="76503"/>
    <x v="0"/>
    <d v="2025-01-24T00:00:00"/>
    <x v="3"/>
    <n v="1"/>
    <x v="3"/>
    <x v="2"/>
    <x v="7"/>
    <s v="Boomers"/>
    <n v="4"/>
  </r>
  <r>
    <s v="CUST0489"/>
    <s v="Monica Carter"/>
    <x v="0"/>
    <n v="40"/>
    <x v="2"/>
    <x v="3"/>
    <n v="157710"/>
    <x v="0"/>
    <d v="2023-06-27T00:00:00"/>
    <x v="0"/>
    <n v="3"/>
    <x v="0"/>
    <x v="0"/>
    <x v="0"/>
    <s v="Millenials"/>
    <n v="2"/>
  </r>
  <r>
    <s v="CUST0490"/>
    <s v="Eric Wilson"/>
    <x v="0"/>
    <n v="54"/>
    <x v="1"/>
    <x v="5"/>
    <n v="26570"/>
    <x v="0"/>
    <d v="2022-08-27T00:00:00"/>
    <x v="1"/>
    <n v="3"/>
    <x v="0"/>
    <x v="2"/>
    <x v="8"/>
    <s v="Gen X"/>
    <n v="3"/>
  </r>
  <r>
    <s v="CUST0491"/>
    <s v="Gail Bates"/>
    <x v="1"/>
    <n v="70"/>
    <x v="3"/>
    <x v="4"/>
    <n v="88785"/>
    <x v="1"/>
    <d v="2022-08-05T00:00:00"/>
    <x v="3"/>
    <n v="3"/>
    <x v="0"/>
    <x v="2"/>
    <x v="8"/>
    <s v="Boomers"/>
    <n v="4"/>
  </r>
  <r>
    <s v="CUST0492"/>
    <s v="Michelle Allen"/>
    <x v="0"/>
    <n v="54"/>
    <x v="3"/>
    <x v="5"/>
    <n v="29110"/>
    <x v="0"/>
    <d v="2022-10-25T00:00:00"/>
    <x v="1"/>
    <n v="3"/>
    <x v="0"/>
    <x v="2"/>
    <x v="8"/>
    <s v="Gen X"/>
    <n v="3"/>
  </r>
  <r>
    <s v="CUST0493"/>
    <s v="Joseph Dean"/>
    <x v="0"/>
    <n v="27"/>
    <x v="2"/>
    <x v="0"/>
    <n v="99141"/>
    <x v="0"/>
    <d v="2024-04-11T00:00:00"/>
    <x v="2"/>
    <n v="2"/>
    <x v="0"/>
    <x v="2"/>
    <x v="5"/>
    <s v="Gen Z"/>
    <n v="1"/>
  </r>
  <r>
    <s v="CUST0494"/>
    <s v="Hector May"/>
    <x v="1"/>
    <n v="27"/>
    <x v="3"/>
    <x v="3"/>
    <n v="32115"/>
    <x v="0"/>
    <d v="2021-03-12T00:00:00"/>
    <x v="2"/>
    <n v="5"/>
    <x v="1"/>
    <x v="2"/>
    <x v="1"/>
    <s v="Gen Z"/>
    <n v="1"/>
  </r>
  <r>
    <s v="CUST0495"/>
    <s v="Janet Wells"/>
    <x v="0"/>
    <n v="36"/>
    <x v="3"/>
    <x v="4"/>
    <n v="59062"/>
    <x v="0"/>
    <d v="2022-01-24T00:00:00"/>
    <x v="0"/>
    <n v="4"/>
    <x v="1"/>
    <x v="2"/>
    <x v="8"/>
    <s v="Millenials"/>
    <n v="2"/>
  </r>
  <r>
    <s v="CUST0496"/>
    <s v="Morgan Anderson"/>
    <x v="0"/>
    <n v="34"/>
    <x v="2"/>
    <x v="4"/>
    <n v="42911"/>
    <x v="1"/>
    <d v="2017-07-04T00:00:00"/>
    <x v="0"/>
    <n v="9"/>
    <x v="2"/>
    <x v="2"/>
    <x v="4"/>
    <s v="Millenials"/>
    <n v="2"/>
  </r>
  <r>
    <s v="CUST0497"/>
    <s v="Vincent Gray"/>
    <x v="0"/>
    <n v="38"/>
    <x v="1"/>
    <x v="2"/>
    <n v="124061"/>
    <x v="1"/>
    <d v="2024-06-08T00:00:00"/>
    <x v="0"/>
    <n v="2"/>
    <x v="0"/>
    <x v="1"/>
    <x v="5"/>
    <s v="Millenials"/>
    <n v="2"/>
  </r>
  <r>
    <s v="CUST0498"/>
    <s v="Yolanda Olson PhD"/>
    <x v="1"/>
    <n v="31"/>
    <x v="1"/>
    <x v="1"/>
    <n v="52556"/>
    <x v="1"/>
    <d v="2016-07-10T00:00:00"/>
    <x v="0"/>
    <n v="9"/>
    <x v="2"/>
    <x v="2"/>
    <x v="3"/>
    <s v="Millenials"/>
    <n v="2"/>
  </r>
  <r>
    <s v="CUST0499"/>
    <s v="Kayla Kelley"/>
    <x v="0"/>
    <n v="26"/>
    <x v="3"/>
    <x v="2"/>
    <n v="148335"/>
    <x v="0"/>
    <d v="2024-05-31T00:00:00"/>
    <x v="2"/>
    <n v="2"/>
    <x v="0"/>
    <x v="1"/>
    <x v="5"/>
    <s v="Gen Z"/>
    <n v="1"/>
  </r>
  <r>
    <s v="CUST0500"/>
    <s v="Olivia Barton"/>
    <x v="1"/>
    <n v="63"/>
    <x v="3"/>
    <x v="4"/>
    <n v="21969"/>
    <x v="1"/>
    <d v="2024-07-15T00:00:00"/>
    <x v="3"/>
    <n v="1"/>
    <x v="3"/>
    <x v="2"/>
    <x v="5"/>
    <s v="Boomers"/>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492F31-5816-4D58-A9E1-2291D8AA2792}" name="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6">
    <pivotField dataField="1" showAll="0"/>
    <pivotField showAll="0"/>
    <pivotField showAll="0"/>
    <pivotField showAll="0"/>
    <pivotField showAll="0">
      <items count="5">
        <item x="1"/>
        <item x="0"/>
        <item x="3"/>
        <item x="2"/>
        <item t="default"/>
      </items>
    </pivotField>
    <pivotField showAll="0"/>
    <pivotField showAll="0"/>
    <pivotField showAll="0">
      <items count="4">
        <item x="1"/>
        <item x="2"/>
        <item x="0"/>
        <item t="default"/>
      </items>
    </pivotField>
    <pivotField numFmtId="22" showAll="0"/>
    <pivotField showAll="0"/>
    <pivotField showAll="0"/>
    <pivotField showAll="0"/>
    <pivotField showAll="0"/>
    <pivotField showAll="0"/>
    <pivotField showAll="0"/>
    <pivotField showAll="0"/>
  </pivotFields>
  <rowItems count="1">
    <i/>
  </rowItems>
  <colItems count="1">
    <i/>
  </colItems>
  <dataFields count="1">
    <dataField name="Count of CustomerID" fld="0"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CC05D8-2073-4787-BD84-C1260458AD0E}" name="Age Grou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B8:D13" firstHeaderRow="1" firstDataRow="2" firstDataCol="1"/>
  <pivotFields count="16">
    <pivotField dataField="1" showAll="0"/>
    <pivotField showAll="0"/>
    <pivotField axis="axisCol" showAll="0">
      <items count="3">
        <item x="1"/>
        <item x="0"/>
        <item t="default"/>
      </items>
    </pivotField>
    <pivotField showAll="0"/>
    <pivotField showAll="0">
      <items count="5">
        <item x="1"/>
        <item x="0"/>
        <item x="3"/>
        <item x="2"/>
        <item t="default"/>
      </items>
    </pivotField>
    <pivotField showAll="0"/>
    <pivotField showAll="0"/>
    <pivotField showAll="0">
      <items count="4">
        <item x="1"/>
        <item x="2"/>
        <item x="0"/>
        <item t="default"/>
      </items>
    </pivotField>
    <pivotField numFmtId="22" showAll="0"/>
    <pivotField axis="axisRow" showAll="0" sortType="ascending">
      <items count="5">
        <item x="2"/>
        <item x="0"/>
        <item x="1"/>
        <item x="3"/>
        <item t="default"/>
      </items>
    </pivotField>
    <pivotField showAll="0"/>
    <pivotField showAll="0" defaultSubtotal="0"/>
    <pivotField showAll="0"/>
    <pivotField showAll="0"/>
    <pivotField showAll="0"/>
    <pivotField showAll="0"/>
  </pivotFields>
  <rowFields count="1">
    <field x="9"/>
  </rowFields>
  <rowItems count="4">
    <i>
      <x/>
    </i>
    <i>
      <x v="1"/>
    </i>
    <i>
      <x v="2"/>
    </i>
    <i>
      <x v="3"/>
    </i>
  </rowItems>
  <colFields count="1">
    <field x="2"/>
  </colFields>
  <colItems count="2">
    <i>
      <x/>
    </i>
    <i>
      <x v="1"/>
    </i>
  </colItems>
  <dataFields count="1">
    <dataField name="Count of CustomerID" fld="0" subtotal="count" baseField="0" baseItem="0"/>
  </dataFields>
  <chartFormats count="4">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1ACB14-7F14-4F12-94F1-A91BD225861B}" name="Average Tenu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6">
    <pivotField showAll="0"/>
    <pivotField showAll="0"/>
    <pivotField showAll="0"/>
    <pivotField showAll="0"/>
    <pivotField showAll="0">
      <items count="5">
        <item x="1"/>
        <item x="0"/>
        <item x="3"/>
        <item x="2"/>
        <item t="default"/>
      </items>
    </pivotField>
    <pivotField showAll="0"/>
    <pivotField showAll="0"/>
    <pivotField showAll="0">
      <items count="4">
        <item x="1"/>
        <item x="2"/>
        <item x="0"/>
        <item t="default"/>
      </items>
    </pivotField>
    <pivotField numFmtId="22" showAll="0"/>
    <pivotField showAll="0"/>
    <pivotField dataField="1" showAll="0"/>
    <pivotField showAll="0"/>
    <pivotField showAll="0"/>
    <pivotField showAll="0"/>
    <pivotField showAll="0"/>
    <pivotField showAll="0"/>
  </pivotFields>
  <rowItems count="1">
    <i/>
  </rowItems>
  <colItems count="1">
    <i/>
  </colItems>
  <dataFields count="1">
    <dataField name="Average of Age.1" fld="10" subtotal="average" baseField="0" baseItem="0"/>
  </dataFields>
  <formats count="2">
    <format dxfId="2">
      <pivotArea outline="0" collapsedLevelsAreSubtotals="1"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9BF26B-1D74-47C4-842C-62DBACFEDF75}" name="Tenure Orde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H31:I35" firstHeaderRow="1" firstDataRow="1" firstDataCol="1"/>
  <pivotFields count="16">
    <pivotField dataField="1" showAll="0"/>
    <pivotField showAll="0"/>
    <pivotField showAll="0"/>
    <pivotField showAll="0"/>
    <pivotField showAll="0">
      <items count="5">
        <item x="1"/>
        <item x="0"/>
        <item x="3"/>
        <item x="2"/>
        <item t="default"/>
      </items>
    </pivotField>
    <pivotField showAll="0"/>
    <pivotField showAll="0"/>
    <pivotField showAll="0">
      <items count="4">
        <item x="1"/>
        <item x="2"/>
        <item x="0"/>
        <item t="default"/>
      </items>
    </pivotField>
    <pivotField numFmtId="22" showAll="0"/>
    <pivotField showAll="0"/>
    <pivotField showAll="0"/>
    <pivotField axis="axisRow" showAll="0" sortType="descending" defaultSubtotal="0">
      <items count="4">
        <item x="0"/>
        <item x="2"/>
        <item x="1"/>
        <item x="3"/>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4">
    <i>
      <x v="2"/>
    </i>
    <i>
      <x v="1"/>
    </i>
    <i>
      <x/>
    </i>
    <i>
      <x v="3"/>
    </i>
  </rowItems>
  <colItems count="1">
    <i/>
  </colItems>
  <dataFields count="1">
    <dataField name="Count of CustomerID" fld="0" subtotal="count" showDataAs="percentOfTotal" baseField="0" baseItem="0" numFmtId="9"/>
  </dataFields>
  <formats count="1">
    <format dxfId="3">
      <pivotArea outline="0" collapsedLevelsAreSubtotals="1" fieldPosition="0"/>
    </format>
  </formats>
  <chartFormats count="21">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1" count="1" selected="0">
            <x v="0"/>
          </reference>
        </references>
      </pivotArea>
    </chartFormat>
    <chartFormat chart="4" format="3">
      <pivotArea type="data" outline="0" fieldPosition="0">
        <references count="2">
          <reference field="4294967294" count="1" selected="0">
            <x v="0"/>
          </reference>
          <reference field="11" count="1" selected="0">
            <x v="1"/>
          </reference>
        </references>
      </pivotArea>
    </chartFormat>
    <chartFormat chart="4" format="4">
      <pivotArea type="data" outline="0" fieldPosition="0">
        <references count="2">
          <reference field="4294967294" count="1" selected="0">
            <x v="0"/>
          </reference>
          <reference field="11" count="1" selected="0">
            <x v="2"/>
          </reference>
        </references>
      </pivotArea>
    </chartFormat>
    <chartFormat chart="4" format="5">
      <pivotArea type="data" outline="0" fieldPosition="0">
        <references count="2">
          <reference field="4294967294" count="1" selected="0">
            <x v="0"/>
          </reference>
          <reference field="11"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5" format="9">
      <pivotArea type="data" outline="0" fieldPosition="0">
        <references count="2">
          <reference field="4294967294" count="1" selected="0">
            <x v="0"/>
          </reference>
          <reference field="11" count="1" selected="0">
            <x v="2"/>
          </reference>
        </references>
      </pivotArea>
    </chartFormat>
    <chartFormat chart="5" format="10">
      <pivotArea type="data" outline="0" fieldPosition="0">
        <references count="2">
          <reference field="4294967294" count="1" selected="0">
            <x v="0"/>
          </reference>
          <reference field="11"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1" count="1" selected="0">
            <x v="2"/>
          </reference>
        </references>
      </pivotArea>
    </chartFormat>
    <chartFormat chart="11" format="8">
      <pivotArea type="data" outline="0" fieldPosition="0">
        <references count="2">
          <reference field="4294967294" count="1" selected="0">
            <x v="0"/>
          </reference>
          <reference field="11" count="1" selected="0">
            <x v="1"/>
          </reference>
        </references>
      </pivotArea>
    </chartFormat>
    <chartFormat chart="11" format="9">
      <pivotArea type="data" outline="0" fieldPosition="0">
        <references count="2">
          <reference field="4294967294" count="1" selected="0">
            <x v="0"/>
          </reference>
          <reference field="11" count="1" selected="0">
            <x v="0"/>
          </reference>
        </references>
      </pivotArea>
    </chartFormat>
    <chartFormat chart="11" format="10">
      <pivotArea type="data" outline="0" fieldPosition="0">
        <references count="2">
          <reference field="4294967294" count="1" selected="0">
            <x v="0"/>
          </reference>
          <reference field="11" count="1" selected="0">
            <x v="3"/>
          </reference>
        </references>
      </pivotArea>
    </chartFormat>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11" count="1" selected="0">
            <x v="2"/>
          </reference>
        </references>
      </pivotArea>
    </chartFormat>
    <chartFormat chart="14" format="18">
      <pivotArea type="data" outline="0" fieldPosition="0">
        <references count="2">
          <reference field="4294967294" count="1" selected="0">
            <x v="0"/>
          </reference>
          <reference field="11" count="1" selected="0">
            <x v="1"/>
          </reference>
        </references>
      </pivotArea>
    </chartFormat>
    <chartFormat chart="14" format="19">
      <pivotArea type="data" outline="0" fieldPosition="0">
        <references count="2">
          <reference field="4294967294" count="1" selected="0">
            <x v="0"/>
          </reference>
          <reference field="11" count="1" selected="0">
            <x v="0"/>
          </reference>
        </references>
      </pivotArea>
    </chartFormat>
    <chartFormat chart="14" format="2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E031D8-E3EA-4EE8-8B31-F03DCFD10EE3}" name="Average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6">
    <pivotField showAll="0"/>
    <pivotField showAll="0"/>
    <pivotField showAll="0"/>
    <pivotField dataField="1" showAll="0"/>
    <pivotField showAll="0">
      <items count="5">
        <item x="1"/>
        <item x="0"/>
        <item x="3"/>
        <item x="2"/>
        <item t="default"/>
      </items>
    </pivotField>
    <pivotField showAll="0"/>
    <pivotField showAll="0"/>
    <pivotField showAll="0">
      <items count="4">
        <item x="1"/>
        <item x="2"/>
        <item x="0"/>
        <item t="default"/>
      </items>
    </pivotField>
    <pivotField numFmtId="22" showAll="0"/>
    <pivotField showAll="0"/>
    <pivotField showAll="0"/>
    <pivotField showAll="0"/>
    <pivotField showAll="0"/>
    <pivotField showAll="0"/>
    <pivotField showAll="0"/>
    <pivotField showAll="0"/>
  </pivotFields>
  <rowItems count="1">
    <i/>
  </rowItems>
  <colItems count="1">
    <i/>
  </colItems>
  <dataFields count="1">
    <dataField name="Average of Age" fld="3" subtotal="average" baseField="0" baseItem="0" numFmtId="1"/>
  </dataFields>
  <formats count="2">
    <format dxfId="5">
      <pivotArea outline="0" collapsedLevelsAreSubtotals="1"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90DDAA-2AA5-488E-BA7C-F43542CA8963}" name="Income Bracke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H8:J12" firstHeaderRow="1" firstDataRow="2" firstDataCol="1"/>
  <pivotFields count="16">
    <pivotField dataField="1" showAll="0"/>
    <pivotField showAll="0"/>
    <pivotField axis="axisCol" showAll="0">
      <items count="3">
        <item x="1"/>
        <item x="0"/>
        <item t="default"/>
      </items>
    </pivotField>
    <pivotField showAll="0"/>
    <pivotField showAll="0">
      <items count="5">
        <item x="1"/>
        <item x="0"/>
        <item x="3"/>
        <item x="2"/>
        <item t="default"/>
      </items>
    </pivotField>
    <pivotField showAll="0"/>
    <pivotField showAll="0"/>
    <pivotField showAll="0">
      <items count="4">
        <item x="1"/>
        <item x="2"/>
        <item x="0"/>
        <item t="default"/>
      </items>
    </pivotField>
    <pivotField numFmtId="22" showAll="0"/>
    <pivotField showAll="0"/>
    <pivotField showAll="0"/>
    <pivotField showAll="0" defaultSubtotal="0"/>
    <pivotField axis="axisRow" showAll="0" sortType="ascending">
      <items count="4">
        <item x="0"/>
        <item x="2"/>
        <item x="1"/>
        <item t="default"/>
      </items>
      <autoSortScope>
        <pivotArea dataOnly="0" outline="0" fieldPosition="0">
          <references count="2">
            <reference field="4294967294" count="1" selected="0">
              <x v="0"/>
            </reference>
            <reference field="2" count="1" selected="0">
              <x v="0"/>
            </reference>
          </references>
        </pivotArea>
      </autoSortScope>
    </pivotField>
    <pivotField showAll="0"/>
    <pivotField showAll="0"/>
    <pivotField showAll="0"/>
  </pivotFields>
  <rowFields count="1">
    <field x="12"/>
  </rowFields>
  <rowItems count="3">
    <i>
      <x v="2"/>
    </i>
    <i>
      <x/>
    </i>
    <i>
      <x v="1"/>
    </i>
  </rowItems>
  <colFields count="1">
    <field x="2"/>
  </colFields>
  <colItems count="2">
    <i>
      <x/>
    </i>
    <i>
      <x v="1"/>
    </i>
  </colItems>
  <dataFields count="1">
    <dataField name="Count of CustomerID" fld="0" subtotal="count" baseField="0" baseItem="0"/>
  </dataFields>
  <chartFormats count="4">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0"/>
          </reference>
        </references>
      </pivotArea>
    </chartFormat>
    <chartFormat chart="7" format="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959441-B6A0-45B3-884E-3A446EEDFA33}" name="Tenure Rough"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B17:C21" firstHeaderRow="1" firstDataRow="1" firstDataCol="1"/>
  <pivotFields count="16">
    <pivotField dataField="1" showAll="0"/>
    <pivotField showAll="0"/>
    <pivotField showAll="0"/>
    <pivotField showAll="0"/>
    <pivotField showAll="0">
      <items count="5">
        <item x="1"/>
        <item x="0"/>
        <item x="3"/>
        <item x="2"/>
        <item t="default"/>
      </items>
    </pivotField>
    <pivotField showAll="0"/>
    <pivotField showAll="0"/>
    <pivotField showAll="0">
      <items count="4">
        <item x="1"/>
        <item x="2"/>
        <item x="0"/>
        <item t="default"/>
      </items>
    </pivotField>
    <pivotField numFmtId="22" showAll="0"/>
    <pivotField showAll="0"/>
    <pivotField showAll="0"/>
    <pivotField axis="axisRow" showAll="0" defaultSubtotal="0">
      <items count="4">
        <item x="0"/>
        <item x="2"/>
        <item x="1"/>
        <item x="3"/>
      </items>
    </pivotField>
    <pivotField showAll="0"/>
    <pivotField showAll="0"/>
    <pivotField showAll="0"/>
    <pivotField showAll="0"/>
  </pivotFields>
  <rowFields count="1">
    <field x="11"/>
  </rowFields>
  <rowItems count="4">
    <i>
      <x/>
    </i>
    <i>
      <x v="1"/>
    </i>
    <i>
      <x v="2"/>
    </i>
    <i>
      <x v="3"/>
    </i>
  </rowItems>
  <colItems count="1">
    <i/>
  </colItems>
  <dataFields count="1">
    <dataField name="Count of CustomerID" fld="0" subtotal="count" showDataAs="percentOfTotal" baseField="0" baseItem="0" numFmtId="9"/>
  </dataFields>
  <formats count="1">
    <format dxfId="6">
      <pivotArea outline="0" collapsedLevelsAreSubtotals="1" fieldPosition="0"/>
    </format>
  </formats>
  <chartFormats count="5">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1" count="1" selected="0">
            <x v="0"/>
          </reference>
        </references>
      </pivotArea>
    </chartFormat>
    <chartFormat chart="4" format="3">
      <pivotArea type="data" outline="0" fieldPosition="0">
        <references count="2">
          <reference field="4294967294" count="1" selected="0">
            <x v="0"/>
          </reference>
          <reference field="11" count="1" selected="0">
            <x v="1"/>
          </reference>
        </references>
      </pivotArea>
    </chartFormat>
    <chartFormat chart="4" format="4">
      <pivotArea type="data" outline="0" fieldPosition="0">
        <references count="2">
          <reference field="4294967294" count="1" selected="0">
            <x v="0"/>
          </reference>
          <reference field="11" count="1" selected="0">
            <x v="2"/>
          </reference>
        </references>
      </pivotArea>
    </chartFormat>
    <chartFormat chart="4" format="5">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E64F92-AADE-4FB6-8F70-244AE64984AF}" name="Occupa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B26:D34" firstHeaderRow="1" firstDataRow="2" firstDataCol="1"/>
  <pivotFields count="16">
    <pivotField dataField="1" showAll="0"/>
    <pivotField showAll="0"/>
    <pivotField axis="axisCol" showAll="0">
      <items count="3">
        <item x="1"/>
        <item x="0"/>
        <item t="default"/>
      </items>
    </pivotField>
    <pivotField showAll="0"/>
    <pivotField showAll="0">
      <items count="5">
        <item x="1"/>
        <item x="0"/>
        <item x="3"/>
        <item x="2"/>
        <item t="default"/>
      </items>
    </pivotField>
    <pivotField axis="axisRow" showAll="0">
      <items count="8">
        <item x="3"/>
        <item x="0"/>
        <item x="5"/>
        <item x="6"/>
        <item x="4"/>
        <item x="2"/>
        <item x="1"/>
        <item t="default"/>
      </items>
    </pivotField>
    <pivotField showAll="0"/>
    <pivotField showAll="0">
      <items count="4">
        <item x="1"/>
        <item x="2"/>
        <item x="0"/>
        <item t="default"/>
      </items>
    </pivotField>
    <pivotField numFmtId="22" showAll="0"/>
    <pivotField showAll="0"/>
    <pivotField showAll="0"/>
    <pivotField showAll="0" defaultSubtotal="0"/>
    <pivotField showAll="0"/>
    <pivotField showAll="0"/>
    <pivotField showAll="0"/>
    <pivotField showAll="0"/>
  </pivotFields>
  <rowFields count="1">
    <field x="5"/>
  </rowFields>
  <rowItems count="7">
    <i>
      <x/>
    </i>
    <i>
      <x v="1"/>
    </i>
    <i>
      <x v="2"/>
    </i>
    <i>
      <x v="3"/>
    </i>
    <i>
      <x v="4"/>
    </i>
    <i>
      <x v="5"/>
    </i>
    <i>
      <x v="6"/>
    </i>
  </rowItems>
  <colFields count="1">
    <field x="2"/>
  </colFields>
  <colItems count="2">
    <i>
      <x/>
    </i>
    <i>
      <x v="1"/>
    </i>
  </colItems>
  <dataFields count="1">
    <dataField name="Count of CustomerID" fld="0" subtotal="count" baseField="0" baseItem="0"/>
  </dataFields>
  <formats count="2">
    <format dxfId="8">
      <pivotArea outline="0" collapsedLevelsAreSubtotals="1" fieldPosition="0"/>
    </format>
    <format dxfId="7">
      <pivotArea outline="0" fieldPosition="0">
        <references count="1">
          <reference field="4294967294" count="1">
            <x v="0"/>
          </reference>
        </references>
      </pivotArea>
    </format>
  </formats>
  <chartFormats count="4">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6A05B9-CEC5-4124-9F17-6E615C7227BE}" name="Average 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6">
    <pivotField showAll="0"/>
    <pivotField showAll="0"/>
    <pivotField showAll="0"/>
    <pivotField showAll="0"/>
    <pivotField showAll="0">
      <items count="5">
        <item x="1"/>
        <item x="0"/>
        <item x="3"/>
        <item x="2"/>
        <item t="default"/>
      </items>
    </pivotField>
    <pivotField showAll="0"/>
    <pivotField dataField="1" showAll="0"/>
    <pivotField showAll="0">
      <items count="4">
        <item x="1"/>
        <item x="2"/>
        <item x="0"/>
        <item t="default"/>
      </items>
    </pivotField>
    <pivotField numFmtId="22" showAll="0"/>
    <pivotField showAll="0"/>
    <pivotField showAll="0"/>
    <pivotField showAll="0"/>
    <pivotField showAll="0"/>
    <pivotField showAll="0"/>
    <pivotField showAll="0"/>
    <pivotField showAll="0"/>
  </pivotFields>
  <rowItems count="1">
    <i/>
  </rowItems>
  <colItems count="1">
    <i/>
  </colItems>
  <dataFields count="1">
    <dataField name="Average of Income" fld="6" subtotal="average" baseField="0" baseItem="0" numFmtId="164"/>
  </dataFields>
  <formats count="3">
    <format dxfId="11">
      <pivotArea outline="0" collapsedLevelsAreSubtotals="1" fieldPosition="0"/>
    </format>
    <format dxfId="10">
      <pivotArea outline="0" collapsedLevelsAreSubtotals="1" fieldPosition="0"/>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F76449-0CD4-4C7E-801E-209ED7234EF6}" name="Customers Growth"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H17:I28" firstHeaderRow="1" firstDataRow="1" firstDataCol="1"/>
  <pivotFields count="16">
    <pivotField dataField="1" showAll="0"/>
    <pivotField showAll="0"/>
    <pivotField showAll="0"/>
    <pivotField showAll="0"/>
    <pivotField showAll="0">
      <items count="5">
        <item x="1"/>
        <item x="0"/>
        <item x="3"/>
        <item x="2"/>
        <item t="default"/>
      </items>
    </pivotField>
    <pivotField showAll="0"/>
    <pivotField showAll="0"/>
    <pivotField showAll="0">
      <items count="4">
        <item x="1"/>
        <item x="2"/>
        <item x="0"/>
        <item t="default"/>
      </items>
    </pivotField>
    <pivotField numFmtId="22" showAll="0"/>
    <pivotField showAll="0"/>
    <pivotField showAll="0"/>
    <pivotField showAll="0" defaultSubtotal="0"/>
    <pivotField showAll="0"/>
    <pivotField axis="axisRow" showAll="0">
      <items count="12">
        <item x="10"/>
        <item x="3"/>
        <item x="4"/>
        <item x="2"/>
        <item x="6"/>
        <item x="9"/>
        <item x="1"/>
        <item x="8"/>
        <item x="0"/>
        <item x="5"/>
        <item x="7"/>
        <item t="default"/>
      </items>
    </pivotField>
    <pivotField showAll="0"/>
    <pivotField showAll="0"/>
  </pivotFields>
  <rowFields count="1">
    <field x="13"/>
  </rowFields>
  <rowItems count="11">
    <i>
      <x/>
    </i>
    <i>
      <x v="1"/>
    </i>
    <i>
      <x v="2"/>
    </i>
    <i>
      <x v="3"/>
    </i>
    <i>
      <x v="4"/>
    </i>
    <i>
      <x v="5"/>
    </i>
    <i>
      <x v="6"/>
    </i>
    <i>
      <x v="7"/>
    </i>
    <i>
      <x v="8"/>
    </i>
    <i>
      <x v="9"/>
    </i>
    <i>
      <x v="10"/>
    </i>
  </rowItems>
  <colItems count="1">
    <i/>
  </colItems>
  <dataFields count="1">
    <dataField name="Count of CustomerID" fld="0" subtotal="count" baseField="0" baseItem="0"/>
  </dataFields>
  <chartFormats count="3">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3" count="1" selected="0">
            <x v="5"/>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E09E160-F15D-4565-8894-C695AB1387A6}" autoFormatId="16" applyNumberFormats="0" applyBorderFormats="0" applyFontFormats="0" applyPatternFormats="0" applyAlignmentFormats="0" applyWidthHeightFormats="0">
  <queryTableRefresh nextId="17">
    <queryTableFields count="16">
      <queryTableField id="1" name="CustomerID" tableColumnId="1"/>
      <queryTableField id="2" name="Name" tableColumnId="2"/>
      <queryTableField id="3" name="Gender" tableColumnId="3"/>
      <queryTableField id="4" name="Age" tableColumnId="4"/>
      <queryTableField id="5" name="Region" tableColumnId="5"/>
      <queryTableField id="6" name="Occupation" tableColumnId="6"/>
      <queryTableField id="7" name="Income" tableColumnId="7"/>
      <queryTableField id="8" name="Customer_Segment" tableColumnId="8"/>
      <queryTableField id="9" name="Join_Date" tableColumnId="9"/>
      <queryTableField id="10" name="Generations" tableColumnId="10"/>
      <queryTableField id="11" name="Age.1" tableColumnId="11"/>
      <queryTableField id="12" name="Tenure" tableColumnId="12"/>
      <queryTableField id="13" name="Income Bracket" tableColumnId="13"/>
      <queryTableField id="14" name="Year" tableColumnId="14"/>
      <queryTableField id="15" name="Generations - Copy" tableColumnId="15"/>
      <queryTableField id="16" name="Customsorting"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337541-0B26-46EF-BA19-670E13CC519A}" sourceName="Region">
  <pivotTables>
    <pivotTable tabId="5" name="Customers Growth"/>
    <pivotTable tabId="5" name="Age Group"/>
    <pivotTable tabId="5" name="Average Age"/>
    <pivotTable tabId="5" name="Average Income"/>
    <pivotTable tabId="5" name="Average Tenure"/>
    <pivotTable tabId="5" name="Customers"/>
    <pivotTable tabId="5" name="Income Bracket"/>
    <pivotTable tabId="5" name="Occupation"/>
    <pivotTable tabId="5" name="Tenure Order"/>
    <pivotTable tabId="5" name="Tenure Rough"/>
  </pivotTables>
  <data>
    <tabular pivotCacheId="415369347">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21A4A97-4C15-4E37-AB76-5E2CCB0FEFB3}" sourceName="Customer_Segment">
  <pivotTables>
    <pivotTable tabId="5" name="Customers Growth"/>
    <pivotTable tabId="5" name="Age Group"/>
    <pivotTable tabId="5" name="Average Age"/>
    <pivotTable tabId="5" name="Average Income"/>
    <pivotTable tabId="5" name="Average Tenure"/>
    <pivotTable tabId="5" name="Customers"/>
    <pivotTable tabId="5" name="Income Bracket"/>
    <pivotTable tabId="5" name="Occupation"/>
    <pivotTable tabId="5" name="Tenure Order"/>
    <pivotTable tabId="5" name="Tenure Rough"/>
  </pivotTables>
  <data>
    <tabular pivotCacheId="41536934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2FA3A8C-6057-44F1-9A2D-99F23953451D}" cache="Slicer_Region" caption="Region" columnCount="4" showCaption="0" style="Slicer " rowHeight="274320"/>
  <slicer name="Customer_Segment" xr10:uid="{151B9521-C99A-4627-BE62-EF51E09FAFFB}" cache="Slicer_Customer_Segment" caption="Customer_Segment" columnCount="3" showCaption="0" style="Slicer "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593394E-3DE6-44AA-B785-BDC98530748D}" cache="Slicer_Region" caption="Region" columnCount="4" showCaption="0" style="Slicer " rowHeight="274320"/>
  <slicer name="Customer_Segment 1" xr10:uid="{EC4940F6-2ACA-4819-AEB6-9727213E69C9}" cache="Slicer_Customer_Segment" caption="Customer_Segment" columnCount="3" showCaption="0" style="Slicer " rowHeight="27432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A971F9-65C8-411B-840C-149B5D447844}" name="Table1" displayName="Table1" ref="A1:I501" totalsRowShown="0">
  <autoFilter ref="A1:I501" xr:uid="{1CA971F9-65C8-411B-840C-149B5D447844}"/>
  <tableColumns count="9">
    <tableColumn id="1" xr3:uid="{BC8DEAD6-65BC-4AE6-B851-57DFB47A6697}" name="CustomerID"/>
    <tableColumn id="2" xr3:uid="{655C38E2-7286-4C0E-B4C8-155B6A504A25}" name="Name"/>
    <tableColumn id="3" xr3:uid="{FC3F7F9A-2BD8-4FA0-91E1-514CC19F6484}" name="Gender"/>
    <tableColumn id="4" xr3:uid="{EED7BFC7-89D4-4004-9E6B-C4BD8611E4F8}" name="Age"/>
    <tableColumn id="5" xr3:uid="{FDBE7DAB-4F5D-42D3-8269-B0D6C9159929}" name="Region"/>
    <tableColumn id="6" xr3:uid="{2DD71A69-B9A5-4147-ADFC-58C3A3501DA2}" name="Occupation"/>
    <tableColumn id="7" xr3:uid="{A1C58A43-09E1-47AB-905F-9634BD78D448}" name="Income"/>
    <tableColumn id="8" xr3:uid="{FA4EB44F-310D-4571-85F9-8A3A8E9AE346}" name="Customer_Segment"/>
    <tableColumn id="9" xr3:uid="{79191771-1B78-4BC9-B4E0-B5B5FF2B5669}" name="Join_Date"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A8FF2B-6FFB-4B51-9375-018B9B73FA45}" name="customer" displayName="customer" ref="A1:P501" tableType="queryTable" totalsRowShown="0">
  <autoFilter ref="A1:P501" xr:uid="{FEA8FF2B-6FFB-4B51-9375-018B9B73FA45}"/>
  <tableColumns count="16">
    <tableColumn id="1" xr3:uid="{369F5305-D19C-4CAA-9FD8-DEF1B796AE1F}" uniqueName="1" name="CustomerID" queryTableFieldId="1" dataDxfId="18"/>
    <tableColumn id="2" xr3:uid="{24889E06-E041-4BAF-8EE4-9CE2C2D5EC37}" uniqueName="2" name="Name" queryTableFieldId="2" dataDxfId="17"/>
    <tableColumn id="3" xr3:uid="{7B82D639-2FA6-474C-84CD-A952112BFB14}" uniqueName="3" name="Gender" queryTableFieldId="3" dataDxfId="16"/>
    <tableColumn id="4" xr3:uid="{1F7D4830-B028-480E-881E-77BD544E3D03}" uniqueName="4" name="Age" queryTableFieldId="4"/>
    <tableColumn id="5" xr3:uid="{507BA449-87E1-4594-9B3D-FECDCC9A439E}" uniqueName="5" name="Region" queryTableFieldId="5" dataDxfId="15"/>
    <tableColumn id="6" xr3:uid="{50769629-A5B6-42F2-A8EC-00AA59953C44}" uniqueName="6" name="Occupation" queryTableFieldId="6" dataDxfId="14"/>
    <tableColumn id="7" xr3:uid="{8347AC56-B5C3-442A-B045-1155596CCF44}" uniqueName="7" name="Income" queryTableFieldId="7"/>
    <tableColumn id="8" xr3:uid="{30EE8DF0-5B19-419A-BAB0-64524863CEEA}" uniqueName="8" name="Customer_Segment" queryTableFieldId="8" dataDxfId="13"/>
    <tableColumn id="9" xr3:uid="{94240D2C-260A-452F-B32A-8A0E75478CCD}" uniqueName="9" name="Join_Date" queryTableFieldId="9" dataDxfId="12"/>
    <tableColumn id="10" xr3:uid="{F2A541AF-1874-48F3-9FB8-67ADF9059891}" uniqueName="10" name="Generations" queryTableFieldId="10"/>
    <tableColumn id="11" xr3:uid="{893E440C-D069-4D74-8656-55DFA08DFEE5}" uniqueName="11" name="Age.1" queryTableFieldId="11"/>
    <tableColumn id="12" xr3:uid="{AC3E6D3A-C095-449A-9065-69BBB9D69C76}" uniqueName="12" name="Tenure" queryTableFieldId="12"/>
    <tableColumn id="13" xr3:uid="{A4B56449-3A63-45CD-A377-53E0940AE443}" uniqueName="13" name="Income Bracket" queryTableFieldId="13"/>
    <tableColumn id="14" xr3:uid="{926077B9-8EED-4828-97BE-5A7023629681}" uniqueName="14" name="Year" queryTableFieldId="14"/>
    <tableColumn id="15" xr3:uid="{633DDB84-7542-4060-9AD3-55E481F4BCE3}" uniqueName="15" name="Generations - Copy" queryTableFieldId="15"/>
    <tableColumn id="16" xr3:uid="{C084916E-77D2-4AA0-9B0F-343E0F90CB84}" uniqueName="16" name="Customsorting" queryTableFieldId="16"/>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0155-E645-41BA-8A0D-CEC31CFF7362}">
  <dimension ref="A1:I501"/>
  <sheetViews>
    <sheetView workbookViewId="0">
      <selection activeCell="I18" sqref="I18"/>
    </sheetView>
  </sheetViews>
  <sheetFormatPr defaultRowHeight="14.4" x14ac:dyDescent="0.3"/>
  <cols>
    <col min="1" max="1" width="12.77734375" customWidth="1"/>
    <col min="2" max="2" width="15.44140625" customWidth="1"/>
    <col min="3" max="3" width="10.44140625" customWidth="1"/>
    <col min="4" max="4" width="10.77734375" customWidth="1"/>
    <col min="5" max="5" width="12.44140625" customWidth="1"/>
    <col min="6" max="6" width="12.5546875" customWidth="1"/>
    <col min="7" max="7" width="11.88671875" customWidth="1"/>
    <col min="8" max="8" width="19.109375" customWidth="1"/>
    <col min="9" max="9" width="15"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v>38</v>
      </c>
      <c r="E2" t="s">
        <v>12</v>
      </c>
      <c r="F2" t="s">
        <v>13</v>
      </c>
      <c r="G2">
        <v>191672</v>
      </c>
      <c r="H2" t="s">
        <v>14</v>
      </c>
      <c r="I2" s="1">
        <v>45041</v>
      </c>
    </row>
    <row r="3" spans="1:9" x14ac:dyDescent="0.3">
      <c r="A3" t="s">
        <v>15</v>
      </c>
      <c r="B3" t="s">
        <v>16</v>
      </c>
      <c r="C3" t="s">
        <v>17</v>
      </c>
      <c r="D3">
        <v>49</v>
      </c>
      <c r="E3" t="s">
        <v>18</v>
      </c>
      <c r="F3" t="s">
        <v>19</v>
      </c>
      <c r="G3">
        <v>186472</v>
      </c>
      <c r="H3" t="s">
        <v>20</v>
      </c>
      <c r="I3" s="1">
        <v>44331</v>
      </c>
    </row>
    <row r="4" spans="1:9" x14ac:dyDescent="0.3">
      <c r="A4" t="s">
        <v>21</v>
      </c>
      <c r="B4" t="s">
        <v>22</v>
      </c>
      <c r="C4" t="s">
        <v>11</v>
      </c>
      <c r="D4">
        <v>40</v>
      </c>
      <c r="E4" t="s">
        <v>12</v>
      </c>
      <c r="F4" t="s">
        <v>23</v>
      </c>
      <c r="G4">
        <v>155566</v>
      </c>
      <c r="H4" t="s">
        <v>24</v>
      </c>
      <c r="I4" s="1">
        <v>43438</v>
      </c>
    </row>
    <row r="5" spans="1:9" x14ac:dyDescent="0.3">
      <c r="A5" t="s">
        <v>25</v>
      </c>
      <c r="B5" t="s">
        <v>26</v>
      </c>
      <c r="C5" t="s">
        <v>11</v>
      </c>
      <c r="D5">
        <v>50</v>
      </c>
      <c r="E5" t="s">
        <v>12</v>
      </c>
      <c r="F5" t="s">
        <v>27</v>
      </c>
      <c r="G5">
        <v>142744</v>
      </c>
      <c r="H5" t="s">
        <v>14</v>
      </c>
      <c r="I5" s="1">
        <v>44494</v>
      </c>
    </row>
    <row r="6" spans="1:9" x14ac:dyDescent="0.3">
      <c r="A6" t="s">
        <v>28</v>
      </c>
      <c r="B6" t="s">
        <v>29</v>
      </c>
      <c r="C6" t="s">
        <v>11</v>
      </c>
      <c r="D6">
        <v>20</v>
      </c>
      <c r="E6" t="s">
        <v>30</v>
      </c>
      <c r="F6" t="s">
        <v>31</v>
      </c>
      <c r="G6">
        <v>109431</v>
      </c>
      <c r="H6" t="s">
        <v>20</v>
      </c>
      <c r="I6" s="1">
        <v>43309</v>
      </c>
    </row>
    <row r="7" spans="1:9" x14ac:dyDescent="0.3">
      <c r="A7" t="s">
        <v>32</v>
      </c>
      <c r="B7" t="s">
        <v>33</v>
      </c>
      <c r="C7" t="s">
        <v>17</v>
      </c>
      <c r="D7">
        <v>35</v>
      </c>
      <c r="E7" t="s">
        <v>34</v>
      </c>
      <c r="F7" t="s">
        <v>23</v>
      </c>
      <c r="G7">
        <v>63001</v>
      </c>
      <c r="H7" t="s">
        <v>14</v>
      </c>
      <c r="I7" s="1">
        <v>42520</v>
      </c>
    </row>
    <row r="8" spans="1:9" x14ac:dyDescent="0.3">
      <c r="A8" t="s">
        <v>35</v>
      </c>
      <c r="B8" t="s">
        <v>36</v>
      </c>
      <c r="C8" t="s">
        <v>11</v>
      </c>
      <c r="D8">
        <v>42</v>
      </c>
      <c r="E8" t="s">
        <v>12</v>
      </c>
      <c r="F8" t="s">
        <v>37</v>
      </c>
      <c r="G8">
        <v>87364</v>
      </c>
      <c r="H8" t="s">
        <v>20</v>
      </c>
      <c r="I8" s="1">
        <v>43026</v>
      </c>
    </row>
    <row r="9" spans="1:9" x14ac:dyDescent="0.3">
      <c r="A9" t="s">
        <v>38</v>
      </c>
      <c r="B9" t="s">
        <v>39</v>
      </c>
      <c r="C9" t="s">
        <v>11</v>
      </c>
      <c r="D9">
        <v>59</v>
      </c>
      <c r="E9" t="s">
        <v>12</v>
      </c>
      <c r="F9" t="s">
        <v>37</v>
      </c>
      <c r="G9">
        <v>144988</v>
      </c>
      <c r="H9" t="s">
        <v>14</v>
      </c>
      <c r="I9" s="1">
        <v>45448</v>
      </c>
    </row>
    <row r="10" spans="1:9" x14ac:dyDescent="0.3">
      <c r="A10" t="s">
        <v>40</v>
      </c>
      <c r="B10" t="s">
        <v>41</v>
      </c>
      <c r="C10" t="s">
        <v>11</v>
      </c>
      <c r="D10">
        <v>48</v>
      </c>
      <c r="E10" t="s">
        <v>30</v>
      </c>
      <c r="F10" t="s">
        <v>42</v>
      </c>
      <c r="G10">
        <v>65028</v>
      </c>
      <c r="H10" t="s">
        <v>20</v>
      </c>
      <c r="I10" s="1">
        <v>43507</v>
      </c>
    </row>
    <row r="11" spans="1:9" x14ac:dyDescent="0.3">
      <c r="A11" t="s">
        <v>43</v>
      </c>
      <c r="B11" t="s">
        <v>44</v>
      </c>
      <c r="C11" t="s">
        <v>17</v>
      </c>
      <c r="D11">
        <v>71</v>
      </c>
      <c r="E11" t="s">
        <v>30</v>
      </c>
      <c r="F11" t="s">
        <v>19</v>
      </c>
      <c r="G11">
        <v>188645</v>
      </c>
      <c r="H11" t="s">
        <v>20</v>
      </c>
      <c r="I11" s="1">
        <v>42405</v>
      </c>
    </row>
    <row r="12" spans="1:9" x14ac:dyDescent="0.3">
      <c r="A12" t="s">
        <v>45</v>
      </c>
      <c r="B12" t="s">
        <v>46</v>
      </c>
      <c r="C12" t="s">
        <v>11</v>
      </c>
      <c r="D12">
        <v>20</v>
      </c>
      <c r="E12" t="s">
        <v>34</v>
      </c>
      <c r="F12" t="s">
        <v>13</v>
      </c>
      <c r="G12">
        <v>151878</v>
      </c>
      <c r="H12" t="s">
        <v>24</v>
      </c>
      <c r="I12" s="1">
        <v>42781</v>
      </c>
    </row>
    <row r="13" spans="1:9" x14ac:dyDescent="0.3">
      <c r="A13" t="s">
        <v>47</v>
      </c>
      <c r="B13" t="s">
        <v>48</v>
      </c>
      <c r="C13" t="s">
        <v>11</v>
      </c>
      <c r="D13">
        <v>57</v>
      </c>
      <c r="E13" t="s">
        <v>30</v>
      </c>
      <c r="F13" t="s">
        <v>19</v>
      </c>
      <c r="G13">
        <v>144343</v>
      </c>
      <c r="H13" t="s">
        <v>20</v>
      </c>
      <c r="I13" s="1">
        <v>45280</v>
      </c>
    </row>
    <row r="14" spans="1:9" x14ac:dyDescent="0.3">
      <c r="A14" t="s">
        <v>49</v>
      </c>
      <c r="B14" t="s">
        <v>50</v>
      </c>
      <c r="C14" t="s">
        <v>11</v>
      </c>
      <c r="D14">
        <v>63</v>
      </c>
      <c r="E14" t="s">
        <v>18</v>
      </c>
      <c r="F14" t="s">
        <v>19</v>
      </c>
      <c r="G14">
        <v>148301</v>
      </c>
      <c r="H14" t="s">
        <v>14</v>
      </c>
      <c r="I14" s="1">
        <v>45018</v>
      </c>
    </row>
    <row r="15" spans="1:9" x14ac:dyDescent="0.3">
      <c r="A15" t="s">
        <v>51</v>
      </c>
      <c r="B15" t="s">
        <v>52</v>
      </c>
      <c r="C15" t="s">
        <v>11</v>
      </c>
      <c r="D15">
        <v>41</v>
      </c>
      <c r="E15" t="s">
        <v>30</v>
      </c>
      <c r="F15" t="s">
        <v>19</v>
      </c>
      <c r="G15">
        <v>146295</v>
      </c>
      <c r="H15" t="s">
        <v>20</v>
      </c>
      <c r="I15" s="1">
        <v>42960</v>
      </c>
    </row>
    <row r="16" spans="1:9" x14ac:dyDescent="0.3">
      <c r="A16" t="s">
        <v>53</v>
      </c>
      <c r="B16" t="s">
        <v>54</v>
      </c>
      <c r="C16" t="s">
        <v>17</v>
      </c>
      <c r="D16">
        <v>67</v>
      </c>
      <c r="E16" t="s">
        <v>18</v>
      </c>
      <c r="F16" t="s">
        <v>19</v>
      </c>
      <c r="G16">
        <v>180829</v>
      </c>
      <c r="H16" t="s">
        <v>20</v>
      </c>
      <c r="I16" s="1">
        <v>43673</v>
      </c>
    </row>
    <row r="17" spans="1:9" x14ac:dyDescent="0.3">
      <c r="A17" t="s">
        <v>55</v>
      </c>
      <c r="B17" t="s">
        <v>56</v>
      </c>
      <c r="C17" t="s">
        <v>11</v>
      </c>
      <c r="D17">
        <v>49</v>
      </c>
      <c r="E17" t="s">
        <v>34</v>
      </c>
      <c r="F17" t="s">
        <v>27</v>
      </c>
      <c r="G17">
        <v>54636</v>
      </c>
      <c r="H17" t="s">
        <v>14</v>
      </c>
      <c r="I17" s="1">
        <v>43643</v>
      </c>
    </row>
    <row r="18" spans="1:9" x14ac:dyDescent="0.3">
      <c r="A18" t="s">
        <v>57</v>
      </c>
      <c r="B18" t="s">
        <v>58</v>
      </c>
      <c r="C18" t="s">
        <v>17</v>
      </c>
      <c r="D18">
        <v>64</v>
      </c>
      <c r="E18" t="s">
        <v>34</v>
      </c>
      <c r="F18" t="s">
        <v>27</v>
      </c>
      <c r="G18">
        <v>199352</v>
      </c>
      <c r="H18" t="s">
        <v>14</v>
      </c>
      <c r="I18" s="1">
        <v>44375</v>
      </c>
    </row>
    <row r="19" spans="1:9" x14ac:dyDescent="0.3">
      <c r="A19" t="s">
        <v>59</v>
      </c>
      <c r="B19" t="s">
        <v>60</v>
      </c>
      <c r="C19" t="s">
        <v>17</v>
      </c>
      <c r="D19">
        <v>39</v>
      </c>
      <c r="E19" t="s">
        <v>34</v>
      </c>
      <c r="F19" t="s">
        <v>42</v>
      </c>
      <c r="G19">
        <v>44262</v>
      </c>
      <c r="H19" t="s">
        <v>24</v>
      </c>
      <c r="I19" s="1">
        <v>45728</v>
      </c>
    </row>
    <row r="20" spans="1:9" x14ac:dyDescent="0.3">
      <c r="A20" t="s">
        <v>61</v>
      </c>
      <c r="B20" t="s">
        <v>62</v>
      </c>
      <c r="C20" t="s">
        <v>17</v>
      </c>
      <c r="D20">
        <v>40</v>
      </c>
      <c r="E20" t="s">
        <v>34</v>
      </c>
      <c r="F20" t="s">
        <v>23</v>
      </c>
      <c r="G20">
        <v>100435</v>
      </c>
      <c r="H20" t="s">
        <v>20</v>
      </c>
      <c r="I20" s="1">
        <v>44456</v>
      </c>
    </row>
    <row r="21" spans="1:9" x14ac:dyDescent="0.3">
      <c r="A21" t="s">
        <v>63</v>
      </c>
      <c r="B21" t="s">
        <v>64</v>
      </c>
      <c r="C21" t="s">
        <v>11</v>
      </c>
      <c r="D21">
        <v>19</v>
      </c>
      <c r="E21" t="s">
        <v>34</v>
      </c>
      <c r="F21" t="s">
        <v>37</v>
      </c>
      <c r="G21">
        <v>148583</v>
      </c>
      <c r="H21" t="s">
        <v>20</v>
      </c>
      <c r="I21" s="1">
        <v>45058</v>
      </c>
    </row>
    <row r="22" spans="1:9" x14ac:dyDescent="0.3">
      <c r="A22" t="s">
        <v>65</v>
      </c>
      <c r="B22" t="s">
        <v>66</v>
      </c>
      <c r="C22" t="s">
        <v>17</v>
      </c>
      <c r="D22">
        <v>44</v>
      </c>
      <c r="E22" t="s">
        <v>18</v>
      </c>
      <c r="F22" t="s">
        <v>19</v>
      </c>
      <c r="G22">
        <v>189269</v>
      </c>
      <c r="H22" t="s">
        <v>14</v>
      </c>
      <c r="I22" s="1">
        <v>45414</v>
      </c>
    </row>
    <row r="23" spans="1:9" x14ac:dyDescent="0.3">
      <c r="A23" t="s">
        <v>67</v>
      </c>
      <c r="B23" t="s">
        <v>68</v>
      </c>
      <c r="C23" t="s">
        <v>11</v>
      </c>
      <c r="D23">
        <v>59</v>
      </c>
      <c r="E23" t="s">
        <v>18</v>
      </c>
      <c r="F23" t="s">
        <v>42</v>
      </c>
      <c r="G23">
        <v>61844</v>
      </c>
      <c r="H23" t="s">
        <v>20</v>
      </c>
      <c r="I23" s="1">
        <v>45118</v>
      </c>
    </row>
    <row r="24" spans="1:9" x14ac:dyDescent="0.3">
      <c r="A24" t="s">
        <v>69</v>
      </c>
      <c r="B24" t="s">
        <v>70</v>
      </c>
      <c r="C24" t="s">
        <v>17</v>
      </c>
      <c r="D24">
        <v>19</v>
      </c>
      <c r="E24" t="s">
        <v>34</v>
      </c>
      <c r="F24" t="s">
        <v>23</v>
      </c>
      <c r="G24">
        <v>84754</v>
      </c>
      <c r="H24" t="s">
        <v>14</v>
      </c>
      <c r="I24" s="1">
        <v>44745</v>
      </c>
    </row>
    <row r="25" spans="1:9" x14ac:dyDescent="0.3">
      <c r="A25" t="s">
        <v>71</v>
      </c>
      <c r="B25" t="s">
        <v>72</v>
      </c>
      <c r="C25" t="s">
        <v>17</v>
      </c>
      <c r="D25">
        <v>43</v>
      </c>
      <c r="E25" t="s">
        <v>30</v>
      </c>
      <c r="F25" t="s">
        <v>37</v>
      </c>
      <c r="G25">
        <v>185229</v>
      </c>
      <c r="H25" t="s">
        <v>20</v>
      </c>
      <c r="I25" s="1">
        <v>42765</v>
      </c>
    </row>
    <row r="26" spans="1:9" x14ac:dyDescent="0.3">
      <c r="A26" t="s">
        <v>73</v>
      </c>
      <c r="B26" t="s">
        <v>74</v>
      </c>
      <c r="C26" t="s">
        <v>17</v>
      </c>
      <c r="D26">
        <v>34</v>
      </c>
      <c r="E26" t="s">
        <v>12</v>
      </c>
      <c r="F26" t="s">
        <v>31</v>
      </c>
      <c r="G26">
        <v>97129</v>
      </c>
      <c r="H26" t="s">
        <v>14</v>
      </c>
      <c r="I26" s="1">
        <v>43718</v>
      </c>
    </row>
    <row r="27" spans="1:9" x14ac:dyDescent="0.3">
      <c r="A27" t="s">
        <v>75</v>
      </c>
      <c r="B27" t="s">
        <v>76</v>
      </c>
      <c r="C27" t="s">
        <v>17</v>
      </c>
      <c r="D27">
        <v>57</v>
      </c>
      <c r="E27" t="s">
        <v>34</v>
      </c>
      <c r="F27" t="s">
        <v>13</v>
      </c>
      <c r="G27">
        <v>60042</v>
      </c>
      <c r="H27" t="s">
        <v>20</v>
      </c>
      <c r="I27" s="1">
        <v>44469</v>
      </c>
    </row>
    <row r="28" spans="1:9" x14ac:dyDescent="0.3">
      <c r="A28" t="s">
        <v>77</v>
      </c>
      <c r="B28" t="s">
        <v>78</v>
      </c>
      <c r="C28" t="s">
        <v>17</v>
      </c>
      <c r="D28">
        <v>50</v>
      </c>
      <c r="E28" t="s">
        <v>30</v>
      </c>
      <c r="F28" t="s">
        <v>27</v>
      </c>
      <c r="G28">
        <v>81665</v>
      </c>
      <c r="H28" t="s">
        <v>24</v>
      </c>
      <c r="I28" s="1">
        <v>42607</v>
      </c>
    </row>
    <row r="29" spans="1:9" x14ac:dyDescent="0.3">
      <c r="A29" t="s">
        <v>79</v>
      </c>
      <c r="B29" t="s">
        <v>80</v>
      </c>
      <c r="C29" t="s">
        <v>17</v>
      </c>
      <c r="D29">
        <v>26</v>
      </c>
      <c r="E29" t="s">
        <v>12</v>
      </c>
      <c r="F29" t="s">
        <v>31</v>
      </c>
      <c r="G29">
        <v>136953</v>
      </c>
      <c r="H29" t="s">
        <v>14</v>
      </c>
      <c r="I29" s="1">
        <v>43698</v>
      </c>
    </row>
    <row r="30" spans="1:9" x14ac:dyDescent="0.3">
      <c r="A30" t="s">
        <v>81</v>
      </c>
      <c r="B30" t="s">
        <v>82</v>
      </c>
      <c r="C30" t="s">
        <v>17</v>
      </c>
      <c r="D30">
        <v>60</v>
      </c>
      <c r="E30" t="s">
        <v>34</v>
      </c>
      <c r="F30" t="s">
        <v>37</v>
      </c>
      <c r="G30">
        <v>178448</v>
      </c>
      <c r="H30" t="s">
        <v>24</v>
      </c>
      <c r="I30" s="1">
        <v>44834</v>
      </c>
    </row>
    <row r="31" spans="1:9" x14ac:dyDescent="0.3">
      <c r="A31" t="s">
        <v>83</v>
      </c>
      <c r="B31" t="s">
        <v>84</v>
      </c>
      <c r="C31" t="s">
        <v>17</v>
      </c>
      <c r="D31">
        <v>71</v>
      </c>
      <c r="E31" t="s">
        <v>34</v>
      </c>
      <c r="F31" t="s">
        <v>31</v>
      </c>
      <c r="G31">
        <v>165271</v>
      </c>
      <c r="H31" t="s">
        <v>14</v>
      </c>
      <c r="I31" s="1">
        <v>44109</v>
      </c>
    </row>
    <row r="32" spans="1:9" x14ac:dyDescent="0.3">
      <c r="A32" t="s">
        <v>85</v>
      </c>
      <c r="B32" t="s">
        <v>86</v>
      </c>
      <c r="C32" t="s">
        <v>11</v>
      </c>
      <c r="D32">
        <v>65</v>
      </c>
      <c r="E32" t="s">
        <v>18</v>
      </c>
      <c r="F32" t="s">
        <v>13</v>
      </c>
      <c r="G32">
        <v>138533</v>
      </c>
      <c r="H32" t="s">
        <v>20</v>
      </c>
      <c r="I32" s="1">
        <v>42742</v>
      </c>
    </row>
    <row r="33" spans="1:9" x14ac:dyDescent="0.3">
      <c r="A33" t="s">
        <v>87</v>
      </c>
      <c r="B33" t="s">
        <v>88</v>
      </c>
      <c r="C33" t="s">
        <v>11</v>
      </c>
      <c r="D33">
        <v>56</v>
      </c>
      <c r="E33" t="s">
        <v>12</v>
      </c>
      <c r="F33" t="s">
        <v>42</v>
      </c>
      <c r="G33">
        <v>93781</v>
      </c>
      <c r="H33" t="s">
        <v>20</v>
      </c>
      <c r="I33" s="1">
        <v>42565</v>
      </c>
    </row>
    <row r="34" spans="1:9" x14ac:dyDescent="0.3">
      <c r="A34" t="s">
        <v>89</v>
      </c>
      <c r="B34" t="s">
        <v>90</v>
      </c>
      <c r="C34" t="s">
        <v>17</v>
      </c>
      <c r="D34">
        <v>46</v>
      </c>
      <c r="E34" t="s">
        <v>12</v>
      </c>
      <c r="F34" t="s">
        <v>37</v>
      </c>
      <c r="G34">
        <v>86262</v>
      </c>
      <c r="H34" t="s">
        <v>14</v>
      </c>
      <c r="I34" s="1">
        <v>43698</v>
      </c>
    </row>
    <row r="35" spans="1:9" x14ac:dyDescent="0.3">
      <c r="A35" t="s">
        <v>91</v>
      </c>
      <c r="B35" t="s">
        <v>92</v>
      </c>
      <c r="C35" t="s">
        <v>17</v>
      </c>
      <c r="D35">
        <v>59</v>
      </c>
      <c r="E35" t="s">
        <v>30</v>
      </c>
      <c r="F35" t="s">
        <v>31</v>
      </c>
      <c r="G35">
        <v>66600</v>
      </c>
      <c r="H35" t="s">
        <v>20</v>
      </c>
      <c r="I35" s="1">
        <v>44513</v>
      </c>
    </row>
    <row r="36" spans="1:9" x14ac:dyDescent="0.3">
      <c r="A36" t="s">
        <v>93</v>
      </c>
      <c r="B36" t="s">
        <v>94</v>
      </c>
      <c r="C36" t="s">
        <v>17</v>
      </c>
      <c r="D36">
        <v>72</v>
      </c>
      <c r="E36" t="s">
        <v>18</v>
      </c>
      <c r="F36" t="s">
        <v>27</v>
      </c>
      <c r="G36">
        <v>96898</v>
      </c>
      <c r="H36" t="s">
        <v>20</v>
      </c>
      <c r="I36" s="1">
        <v>42533</v>
      </c>
    </row>
    <row r="37" spans="1:9" x14ac:dyDescent="0.3">
      <c r="A37" t="s">
        <v>95</v>
      </c>
      <c r="B37" t="s">
        <v>96</v>
      </c>
      <c r="C37" t="s">
        <v>11</v>
      </c>
      <c r="D37">
        <v>43</v>
      </c>
      <c r="E37" t="s">
        <v>18</v>
      </c>
      <c r="F37" t="s">
        <v>27</v>
      </c>
      <c r="G37">
        <v>169369</v>
      </c>
      <c r="H37" t="s">
        <v>14</v>
      </c>
      <c r="I37" s="1">
        <v>42902</v>
      </c>
    </row>
    <row r="38" spans="1:9" x14ac:dyDescent="0.3">
      <c r="A38" t="s">
        <v>97</v>
      </c>
      <c r="B38" t="s">
        <v>98</v>
      </c>
      <c r="C38" t="s">
        <v>17</v>
      </c>
      <c r="D38">
        <v>52</v>
      </c>
      <c r="E38" t="s">
        <v>18</v>
      </c>
      <c r="F38" t="s">
        <v>23</v>
      </c>
      <c r="G38">
        <v>50448</v>
      </c>
      <c r="H38" t="s">
        <v>14</v>
      </c>
      <c r="I38" s="1">
        <v>42922</v>
      </c>
    </row>
    <row r="39" spans="1:9" x14ac:dyDescent="0.3">
      <c r="A39" t="s">
        <v>99</v>
      </c>
      <c r="B39" t="s">
        <v>100</v>
      </c>
      <c r="C39" t="s">
        <v>11</v>
      </c>
      <c r="D39">
        <v>67</v>
      </c>
      <c r="E39" t="s">
        <v>18</v>
      </c>
      <c r="F39" t="s">
        <v>31</v>
      </c>
      <c r="G39">
        <v>46172</v>
      </c>
      <c r="H39" t="s">
        <v>20</v>
      </c>
      <c r="I39" s="1">
        <v>44507</v>
      </c>
    </row>
    <row r="40" spans="1:9" x14ac:dyDescent="0.3">
      <c r="A40" t="s">
        <v>101</v>
      </c>
      <c r="B40" t="s">
        <v>102</v>
      </c>
      <c r="C40" t="s">
        <v>11</v>
      </c>
      <c r="D40">
        <v>42</v>
      </c>
      <c r="E40" t="s">
        <v>12</v>
      </c>
      <c r="F40" t="s">
        <v>19</v>
      </c>
      <c r="G40">
        <v>193946</v>
      </c>
      <c r="H40" t="s">
        <v>20</v>
      </c>
      <c r="I40" s="1">
        <v>44074</v>
      </c>
    </row>
    <row r="41" spans="1:9" x14ac:dyDescent="0.3">
      <c r="A41" t="s">
        <v>103</v>
      </c>
      <c r="B41" t="s">
        <v>104</v>
      </c>
      <c r="C41" t="s">
        <v>11</v>
      </c>
      <c r="D41">
        <v>41</v>
      </c>
      <c r="E41" t="s">
        <v>12</v>
      </c>
      <c r="F41" t="s">
        <v>31</v>
      </c>
      <c r="G41">
        <v>27657</v>
      </c>
      <c r="H41" t="s">
        <v>20</v>
      </c>
      <c r="I41" s="1">
        <v>42296</v>
      </c>
    </row>
    <row r="42" spans="1:9" x14ac:dyDescent="0.3">
      <c r="A42" t="s">
        <v>105</v>
      </c>
      <c r="B42" t="s">
        <v>106</v>
      </c>
      <c r="C42" t="s">
        <v>11</v>
      </c>
      <c r="D42">
        <v>30</v>
      </c>
      <c r="E42" t="s">
        <v>34</v>
      </c>
      <c r="F42" t="s">
        <v>42</v>
      </c>
      <c r="G42">
        <v>176497</v>
      </c>
      <c r="H42" t="s">
        <v>20</v>
      </c>
      <c r="I42" s="1">
        <v>42853</v>
      </c>
    </row>
    <row r="43" spans="1:9" x14ac:dyDescent="0.3">
      <c r="A43" t="s">
        <v>107</v>
      </c>
      <c r="B43" t="s">
        <v>108</v>
      </c>
      <c r="C43" t="s">
        <v>11</v>
      </c>
      <c r="D43">
        <v>24</v>
      </c>
      <c r="E43" t="s">
        <v>34</v>
      </c>
      <c r="F43" t="s">
        <v>37</v>
      </c>
      <c r="G43">
        <v>177757</v>
      </c>
      <c r="H43" t="s">
        <v>14</v>
      </c>
      <c r="I43" s="1">
        <v>42576</v>
      </c>
    </row>
    <row r="44" spans="1:9" x14ac:dyDescent="0.3">
      <c r="A44" t="s">
        <v>109</v>
      </c>
      <c r="B44" t="s">
        <v>110</v>
      </c>
      <c r="C44" t="s">
        <v>17</v>
      </c>
      <c r="D44">
        <v>74</v>
      </c>
      <c r="E44" t="s">
        <v>18</v>
      </c>
      <c r="F44" t="s">
        <v>37</v>
      </c>
      <c r="G44">
        <v>132855</v>
      </c>
      <c r="H44" t="s">
        <v>20</v>
      </c>
      <c r="I44" s="1">
        <v>44752</v>
      </c>
    </row>
    <row r="45" spans="1:9" x14ac:dyDescent="0.3">
      <c r="A45" t="s">
        <v>111</v>
      </c>
      <c r="B45" t="s">
        <v>112</v>
      </c>
      <c r="C45" t="s">
        <v>17</v>
      </c>
      <c r="D45">
        <v>53</v>
      </c>
      <c r="E45" t="s">
        <v>18</v>
      </c>
      <c r="F45" t="s">
        <v>42</v>
      </c>
      <c r="G45">
        <v>175650</v>
      </c>
      <c r="H45" t="s">
        <v>14</v>
      </c>
      <c r="I45" s="1">
        <v>44427</v>
      </c>
    </row>
    <row r="46" spans="1:9" x14ac:dyDescent="0.3">
      <c r="A46" t="s">
        <v>113</v>
      </c>
      <c r="B46" t="s">
        <v>114</v>
      </c>
      <c r="C46" t="s">
        <v>17</v>
      </c>
      <c r="D46">
        <v>62</v>
      </c>
      <c r="E46" t="s">
        <v>18</v>
      </c>
      <c r="F46" t="s">
        <v>31</v>
      </c>
      <c r="G46">
        <v>179903</v>
      </c>
      <c r="H46" t="s">
        <v>14</v>
      </c>
      <c r="I46" s="1">
        <v>43636</v>
      </c>
    </row>
    <row r="47" spans="1:9" x14ac:dyDescent="0.3">
      <c r="A47" t="s">
        <v>115</v>
      </c>
      <c r="B47" t="s">
        <v>116</v>
      </c>
      <c r="C47" t="s">
        <v>17</v>
      </c>
      <c r="D47">
        <v>37</v>
      </c>
      <c r="E47" t="s">
        <v>34</v>
      </c>
      <c r="F47" t="s">
        <v>42</v>
      </c>
      <c r="G47">
        <v>27906</v>
      </c>
      <c r="H47" t="s">
        <v>14</v>
      </c>
      <c r="I47" s="1">
        <v>44323</v>
      </c>
    </row>
    <row r="48" spans="1:9" x14ac:dyDescent="0.3">
      <c r="A48" t="s">
        <v>117</v>
      </c>
      <c r="B48" t="s">
        <v>118</v>
      </c>
      <c r="C48" t="s">
        <v>17</v>
      </c>
      <c r="D48">
        <v>18</v>
      </c>
      <c r="E48" t="s">
        <v>30</v>
      </c>
      <c r="F48" t="s">
        <v>13</v>
      </c>
      <c r="G48">
        <v>81413</v>
      </c>
      <c r="H48" t="s">
        <v>14</v>
      </c>
      <c r="I48" s="1">
        <v>42831</v>
      </c>
    </row>
    <row r="49" spans="1:9" x14ac:dyDescent="0.3">
      <c r="A49" t="s">
        <v>119</v>
      </c>
      <c r="B49" t="s">
        <v>120</v>
      </c>
      <c r="C49" t="s">
        <v>11</v>
      </c>
      <c r="D49">
        <v>25</v>
      </c>
      <c r="E49" t="s">
        <v>30</v>
      </c>
      <c r="F49" t="s">
        <v>42</v>
      </c>
      <c r="G49">
        <v>74028</v>
      </c>
      <c r="H49" t="s">
        <v>14</v>
      </c>
      <c r="I49" s="1">
        <v>45478</v>
      </c>
    </row>
    <row r="50" spans="1:9" x14ac:dyDescent="0.3">
      <c r="A50" t="s">
        <v>121</v>
      </c>
      <c r="B50" t="s">
        <v>122</v>
      </c>
      <c r="C50" t="s">
        <v>17</v>
      </c>
      <c r="D50">
        <v>63</v>
      </c>
      <c r="E50" t="s">
        <v>34</v>
      </c>
      <c r="F50" t="s">
        <v>27</v>
      </c>
      <c r="G50">
        <v>27287</v>
      </c>
      <c r="H50" t="s">
        <v>14</v>
      </c>
      <c r="I50" s="1">
        <v>42750</v>
      </c>
    </row>
    <row r="51" spans="1:9" x14ac:dyDescent="0.3">
      <c r="A51" t="s">
        <v>123</v>
      </c>
      <c r="B51" t="s">
        <v>124</v>
      </c>
      <c r="C51" t="s">
        <v>17</v>
      </c>
      <c r="D51">
        <v>33</v>
      </c>
      <c r="E51" t="s">
        <v>34</v>
      </c>
      <c r="F51" t="s">
        <v>42</v>
      </c>
      <c r="G51">
        <v>53660</v>
      </c>
      <c r="H51" t="s">
        <v>20</v>
      </c>
      <c r="I51" s="1">
        <v>44992</v>
      </c>
    </row>
    <row r="52" spans="1:9" x14ac:dyDescent="0.3">
      <c r="A52" t="s">
        <v>125</v>
      </c>
      <c r="B52" t="s">
        <v>126</v>
      </c>
      <c r="C52" t="s">
        <v>11</v>
      </c>
      <c r="D52">
        <v>31</v>
      </c>
      <c r="E52" t="s">
        <v>34</v>
      </c>
      <c r="F52" t="s">
        <v>37</v>
      </c>
      <c r="G52">
        <v>80504</v>
      </c>
      <c r="H52" t="s">
        <v>14</v>
      </c>
      <c r="I52" s="1">
        <v>42622</v>
      </c>
    </row>
    <row r="53" spans="1:9" x14ac:dyDescent="0.3">
      <c r="A53" t="s">
        <v>127</v>
      </c>
      <c r="B53" t="s">
        <v>128</v>
      </c>
      <c r="C53" t="s">
        <v>17</v>
      </c>
      <c r="D53">
        <v>29</v>
      </c>
      <c r="E53" t="s">
        <v>34</v>
      </c>
      <c r="F53" t="s">
        <v>27</v>
      </c>
      <c r="G53">
        <v>122979</v>
      </c>
      <c r="H53" t="s">
        <v>14</v>
      </c>
      <c r="I53" s="1">
        <v>45072</v>
      </c>
    </row>
    <row r="54" spans="1:9" x14ac:dyDescent="0.3">
      <c r="A54" t="s">
        <v>129</v>
      </c>
      <c r="B54" t="s">
        <v>130</v>
      </c>
      <c r="C54" t="s">
        <v>11</v>
      </c>
      <c r="D54">
        <v>68</v>
      </c>
      <c r="E54" t="s">
        <v>34</v>
      </c>
      <c r="F54" t="s">
        <v>37</v>
      </c>
      <c r="G54">
        <v>54701</v>
      </c>
      <c r="H54" t="s">
        <v>14</v>
      </c>
      <c r="I54" s="1">
        <v>44740</v>
      </c>
    </row>
    <row r="55" spans="1:9" x14ac:dyDescent="0.3">
      <c r="A55" t="s">
        <v>131</v>
      </c>
      <c r="B55" t="s">
        <v>132</v>
      </c>
      <c r="C55" t="s">
        <v>17</v>
      </c>
      <c r="D55">
        <v>40</v>
      </c>
      <c r="E55" t="s">
        <v>34</v>
      </c>
      <c r="F55" t="s">
        <v>23</v>
      </c>
      <c r="G55">
        <v>103300</v>
      </c>
      <c r="H55" t="s">
        <v>14</v>
      </c>
      <c r="I55" s="1">
        <v>44107</v>
      </c>
    </row>
    <row r="56" spans="1:9" x14ac:dyDescent="0.3">
      <c r="A56" t="s">
        <v>133</v>
      </c>
      <c r="B56" t="s">
        <v>134</v>
      </c>
      <c r="C56" t="s">
        <v>11</v>
      </c>
      <c r="D56">
        <v>32</v>
      </c>
      <c r="E56" t="s">
        <v>18</v>
      </c>
      <c r="F56" t="s">
        <v>19</v>
      </c>
      <c r="G56">
        <v>168746</v>
      </c>
      <c r="H56" t="s">
        <v>14</v>
      </c>
      <c r="I56" s="1">
        <v>44916</v>
      </c>
    </row>
    <row r="57" spans="1:9" x14ac:dyDescent="0.3">
      <c r="A57" t="s">
        <v>135</v>
      </c>
      <c r="B57" t="s">
        <v>136</v>
      </c>
      <c r="C57" t="s">
        <v>17</v>
      </c>
      <c r="D57">
        <v>45</v>
      </c>
      <c r="E57" t="s">
        <v>18</v>
      </c>
      <c r="F57" t="s">
        <v>37</v>
      </c>
      <c r="G57">
        <v>103560</v>
      </c>
      <c r="H57" t="s">
        <v>14</v>
      </c>
      <c r="I57" s="1">
        <v>44711</v>
      </c>
    </row>
    <row r="58" spans="1:9" x14ac:dyDescent="0.3">
      <c r="A58" t="s">
        <v>137</v>
      </c>
      <c r="B58" t="s">
        <v>138</v>
      </c>
      <c r="C58" t="s">
        <v>17</v>
      </c>
      <c r="D58">
        <v>51</v>
      </c>
      <c r="E58" t="s">
        <v>18</v>
      </c>
      <c r="F58" t="s">
        <v>27</v>
      </c>
      <c r="G58">
        <v>174946</v>
      </c>
      <c r="H58" t="s">
        <v>20</v>
      </c>
      <c r="I58" s="1">
        <v>43671</v>
      </c>
    </row>
    <row r="59" spans="1:9" x14ac:dyDescent="0.3">
      <c r="A59" t="s">
        <v>139</v>
      </c>
      <c r="B59" t="s">
        <v>140</v>
      </c>
      <c r="C59" t="s">
        <v>11</v>
      </c>
      <c r="D59">
        <v>19</v>
      </c>
      <c r="E59" t="s">
        <v>18</v>
      </c>
      <c r="F59" t="s">
        <v>23</v>
      </c>
      <c r="G59">
        <v>63642</v>
      </c>
      <c r="H59" t="s">
        <v>20</v>
      </c>
      <c r="I59" s="1">
        <v>43622</v>
      </c>
    </row>
    <row r="60" spans="1:9" x14ac:dyDescent="0.3">
      <c r="A60" t="s">
        <v>141</v>
      </c>
      <c r="B60" t="s">
        <v>142</v>
      </c>
      <c r="C60" t="s">
        <v>11</v>
      </c>
      <c r="D60">
        <v>49</v>
      </c>
      <c r="E60" t="s">
        <v>34</v>
      </c>
      <c r="F60" t="s">
        <v>37</v>
      </c>
      <c r="G60">
        <v>85160</v>
      </c>
      <c r="H60" t="s">
        <v>20</v>
      </c>
      <c r="I60" s="1">
        <v>45360</v>
      </c>
    </row>
    <row r="61" spans="1:9" x14ac:dyDescent="0.3">
      <c r="A61" t="s">
        <v>143</v>
      </c>
      <c r="B61" t="s">
        <v>144</v>
      </c>
      <c r="C61" t="s">
        <v>11</v>
      </c>
      <c r="D61">
        <v>40</v>
      </c>
      <c r="E61" t="s">
        <v>30</v>
      </c>
      <c r="F61" t="s">
        <v>13</v>
      </c>
      <c r="G61">
        <v>37602</v>
      </c>
      <c r="H61" t="s">
        <v>14</v>
      </c>
      <c r="I61" s="1">
        <v>43415</v>
      </c>
    </row>
    <row r="62" spans="1:9" x14ac:dyDescent="0.3">
      <c r="A62" t="s">
        <v>145</v>
      </c>
      <c r="B62" t="s">
        <v>146</v>
      </c>
      <c r="C62" t="s">
        <v>11</v>
      </c>
      <c r="D62">
        <v>39</v>
      </c>
      <c r="E62" t="s">
        <v>12</v>
      </c>
      <c r="F62" t="s">
        <v>42</v>
      </c>
      <c r="G62">
        <v>123320</v>
      </c>
      <c r="H62" t="s">
        <v>14</v>
      </c>
      <c r="I62" s="1">
        <v>44878</v>
      </c>
    </row>
    <row r="63" spans="1:9" x14ac:dyDescent="0.3">
      <c r="A63" t="s">
        <v>147</v>
      </c>
      <c r="B63" t="s">
        <v>148</v>
      </c>
      <c r="C63" t="s">
        <v>11</v>
      </c>
      <c r="D63">
        <v>68</v>
      </c>
      <c r="E63" t="s">
        <v>34</v>
      </c>
      <c r="F63" t="s">
        <v>19</v>
      </c>
      <c r="G63">
        <v>108801</v>
      </c>
      <c r="H63" t="s">
        <v>20</v>
      </c>
      <c r="I63" s="1">
        <v>45597</v>
      </c>
    </row>
    <row r="64" spans="1:9" x14ac:dyDescent="0.3">
      <c r="A64" t="s">
        <v>149</v>
      </c>
      <c r="B64" t="s">
        <v>150</v>
      </c>
      <c r="C64" t="s">
        <v>11</v>
      </c>
      <c r="D64">
        <v>42</v>
      </c>
      <c r="E64" t="s">
        <v>12</v>
      </c>
      <c r="F64" t="s">
        <v>37</v>
      </c>
      <c r="G64">
        <v>45931</v>
      </c>
      <c r="H64" t="s">
        <v>14</v>
      </c>
      <c r="I64" s="1">
        <v>45042</v>
      </c>
    </row>
    <row r="65" spans="1:9" x14ac:dyDescent="0.3">
      <c r="A65" t="s">
        <v>151</v>
      </c>
      <c r="B65" t="s">
        <v>152</v>
      </c>
      <c r="C65" t="s">
        <v>11</v>
      </c>
      <c r="D65">
        <v>39</v>
      </c>
      <c r="E65" t="s">
        <v>30</v>
      </c>
      <c r="F65" t="s">
        <v>23</v>
      </c>
      <c r="G65">
        <v>114377</v>
      </c>
      <c r="H65" t="s">
        <v>14</v>
      </c>
      <c r="I65" s="1">
        <v>44997</v>
      </c>
    </row>
    <row r="66" spans="1:9" x14ac:dyDescent="0.3">
      <c r="A66" t="s">
        <v>153</v>
      </c>
      <c r="B66" t="s">
        <v>154</v>
      </c>
      <c r="C66" t="s">
        <v>11</v>
      </c>
      <c r="D66">
        <v>39</v>
      </c>
      <c r="E66" t="s">
        <v>18</v>
      </c>
      <c r="F66" t="s">
        <v>13</v>
      </c>
      <c r="G66">
        <v>49192</v>
      </c>
      <c r="H66" t="s">
        <v>14</v>
      </c>
      <c r="I66" s="1">
        <v>44119</v>
      </c>
    </row>
    <row r="67" spans="1:9" x14ac:dyDescent="0.3">
      <c r="A67" t="s">
        <v>155</v>
      </c>
      <c r="B67" t="s">
        <v>156</v>
      </c>
      <c r="C67" t="s">
        <v>17</v>
      </c>
      <c r="D67">
        <v>66</v>
      </c>
      <c r="E67" t="s">
        <v>30</v>
      </c>
      <c r="F67" t="s">
        <v>31</v>
      </c>
      <c r="G67">
        <v>66542</v>
      </c>
      <c r="H67" t="s">
        <v>14</v>
      </c>
      <c r="I67" s="1">
        <v>43091</v>
      </c>
    </row>
    <row r="68" spans="1:9" x14ac:dyDescent="0.3">
      <c r="A68" t="s">
        <v>157</v>
      </c>
      <c r="B68" t="s">
        <v>158</v>
      </c>
      <c r="C68" t="s">
        <v>17</v>
      </c>
      <c r="D68">
        <v>69</v>
      </c>
      <c r="E68" t="s">
        <v>34</v>
      </c>
      <c r="F68" t="s">
        <v>23</v>
      </c>
      <c r="G68">
        <v>147015</v>
      </c>
      <c r="H68" t="s">
        <v>14</v>
      </c>
      <c r="I68" s="1">
        <v>44996</v>
      </c>
    </row>
    <row r="69" spans="1:9" x14ac:dyDescent="0.3">
      <c r="A69" t="s">
        <v>159</v>
      </c>
      <c r="B69" t="s">
        <v>160</v>
      </c>
      <c r="C69" t="s">
        <v>11</v>
      </c>
      <c r="D69">
        <v>59</v>
      </c>
      <c r="E69" t="s">
        <v>18</v>
      </c>
      <c r="F69" t="s">
        <v>42</v>
      </c>
      <c r="G69">
        <v>62520</v>
      </c>
      <c r="H69" t="s">
        <v>14</v>
      </c>
      <c r="I69" s="1">
        <v>43069</v>
      </c>
    </row>
    <row r="70" spans="1:9" x14ac:dyDescent="0.3">
      <c r="A70" t="s">
        <v>161</v>
      </c>
      <c r="B70" t="s">
        <v>162</v>
      </c>
      <c r="C70" t="s">
        <v>17</v>
      </c>
      <c r="D70">
        <v>23</v>
      </c>
      <c r="E70" t="s">
        <v>34</v>
      </c>
      <c r="F70" t="s">
        <v>23</v>
      </c>
      <c r="G70">
        <v>84772</v>
      </c>
      <c r="H70" t="s">
        <v>14</v>
      </c>
      <c r="I70" s="1">
        <v>43341</v>
      </c>
    </row>
    <row r="71" spans="1:9" x14ac:dyDescent="0.3">
      <c r="A71" t="s">
        <v>163</v>
      </c>
      <c r="B71" t="s">
        <v>164</v>
      </c>
      <c r="C71" t="s">
        <v>17</v>
      </c>
      <c r="D71">
        <v>32</v>
      </c>
      <c r="E71" t="s">
        <v>18</v>
      </c>
      <c r="F71" t="s">
        <v>13</v>
      </c>
      <c r="G71">
        <v>70106</v>
      </c>
      <c r="H71" t="s">
        <v>14</v>
      </c>
      <c r="I71" s="1">
        <v>45477</v>
      </c>
    </row>
    <row r="72" spans="1:9" x14ac:dyDescent="0.3">
      <c r="A72" t="s">
        <v>165</v>
      </c>
      <c r="B72" t="s">
        <v>166</v>
      </c>
      <c r="C72" t="s">
        <v>17</v>
      </c>
      <c r="D72">
        <v>71</v>
      </c>
      <c r="E72" t="s">
        <v>12</v>
      </c>
      <c r="F72" t="s">
        <v>23</v>
      </c>
      <c r="G72">
        <v>101121</v>
      </c>
      <c r="H72" t="s">
        <v>20</v>
      </c>
      <c r="I72" s="1">
        <v>45815</v>
      </c>
    </row>
    <row r="73" spans="1:9" x14ac:dyDescent="0.3">
      <c r="A73" t="s">
        <v>167</v>
      </c>
      <c r="B73" t="s">
        <v>168</v>
      </c>
      <c r="C73" t="s">
        <v>17</v>
      </c>
      <c r="D73">
        <v>60</v>
      </c>
      <c r="E73" t="s">
        <v>12</v>
      </c>
      <c r="F73" t="s">
        <v>13</v>
      </c>
      <c r="G73">
        <v>45559</v>
      </c>
      <c r="H73" t="s">
        <v>20</v>
      </c>
      <c r="I73" s="1">
        <v>42457</v>
      </c>
    </row>
    <row r="74" spans="1:9" x14ac:dyDescent="0.3">
      <c r="A74" t="s">
        <v>169</v>
      </c>
      <c r="B74" t="s">
        <v>170</v>
      </c>
      <c r="C74" t="s">
        <v>11</v>
      </c>
      <c r="D74">
        <v>54</v>
      </c>
      <c r="E74" t="s">
        <v>12</v>
      </c>
      <c r="F74" t="s">
        <v>37</v>
      </c>
      <c r="G74">
        <v>125595</v>
      </c>
      <c r="H74" t="s">
        <v>20</v>
      </c>
      <c r="I74" s="1">
        <v>43929</v>
      </c>
    </row>
    <row r="75" spans="1:9" x14ac:dyDescent="0.3">
      <c r="A75" t="s">
        <v>171</v>
      </c>
      <c r="B75" t="s">
        <v>172</v>
      </c>
      <c r="C75" t="s">
        <v>17</v>
      </c>
      <c r="D75">
        <v>50</v>
      </c>
      <c r="E75" t="s">
        <v>30</v>
      </c>
      <c r="F75" t="s">
        <v>13</v>
      </c>
      <c r="G75">
        <v>53742</v>
      </c>
      <c r="H75" t="s">
        <v>20</v>
      </c>
      <c r="I75" s="1">
        <v>45677</v>
      </c>
    </row>
    <row r="76" spans="1:9" x14ac:dyDescent="0.3">
      <c r="A76" t="s">
        <v>173</v>
      </c>
      <c r="B76" t="s">
        <v>174</v>
      </c>
      <c r="C76" t="s">
        <v>11</v>
      </c>
      <c r="D76">
        <v>25</v>
      </c>
      <c r="E76" t="s">
        <v>34</v>
      </c>
      <c r="F76" t="s">
        <v>13</v>
      </c>
      <c r="G76">
        <v>89669</v>
      </c>
      <c r="H76" t="s">
        <v>24</v>
      </c>
      <c r="I76" s="1">
        <v>43309</v>
      </c>
    </row>
    <row r="77" spans="1:9" x14ac:dyDescent="0.3">
      <c r="A77" t="s">
        <v>175</v>
      </c>
      <c r="B77" t="s">
        <v>176</v>
      </c>
      <c r="C77" t="s">
        <v>17</v>
      </c>
      <c r="D77">
        <v>70</v>
      </c>
      <c r="E77" t="s">
        <v>30</v>
      </c>
      <c r="F77" t="s">
        <v>19</v>
      </c>
      <c r="G77">
        <v>172826</v>
      </c>
      <c r="H77" t="s">
        <v>14</v>
      </c>
      <c r="I77" s="1">
        <v>42917</v>
      </c>
    </row>
    <row r="78" spans="1:9" x14ac:dyDescent="0.3">
      <c r="A78" t="s">
        <v>177</v>
      </c>
      <c r="B78" t="s">
        <v>178</v>
      </c>
      <c r="C78" t="s">
        <v>17</v>
      </c>
      <c r="D78">
        <v>61</v>
      </c>
      <c r="E78" t="s">
        <v>12</v>
      </c>
      <c r="F78" t="s">
        <v>13</v>
      </c>
      <c r="G78">
        <v>155044</v>
      </c>
      <c r="H78" t="s">
        <v>14</v>
      </c>
      <c r="I78" s="1">
        <v>44584</v>
      </c>
    </row>
    <row r="79" spans="1:9" x14ac:dyDescent="0.3">
      <c r="A79" t="s">
        <v>179</v>
      </c>
      <c r="B79" t="s">
        <v>180</v>
      </c>
      <c r="C79" t="s">
        <v>17</v>
      </c>
      <c r="D79">
        <v>61</v>
      </c>
      <c r="E79" t="s">
        <v>34</v>
      </c>
      <c r="F79" t="s">
        <v>13</v>
      </c>
      <c r="G79">
        <v>90831</v>
      </c>
      <c r="H79" t="s">
        <v>14</v>
      </c>
      <c r="I79" s="1">
        <v>43302</v>
      </c>
    </row>
    <row r="80" spans="1:9" x14ac:dyDescent="0.3">
      <c r="A80" t="s">
        <v>181</v>
      </c>
      <c r="B80" t="s">
        <v>182</v>
      </c>
      <c r="C80" t="s">
        <v>11</v>
      </c>
      <c r="D80">
        <v>22</v>
      </c>
      <c r="E80" t="s">
        <v>12</v>
      </c>
      <c r="F80" t="s">
        <v>31</v>
      </c>
      <c r="G80">
        <v>132217</v>
      </c>
      <c r="H80" t="s">
        <v>20</v>
      </c>
      <c r="I80" s="1">
        <v>44565</v>
      </c>
    </row>
    <row r="81" spans="1:9" x14ac:dyDescent="0.3">
      <c r="A81" t="s">
        <v>183</v>
      </c>
      <c r="B81" t="s">
        <v>184</v>
      </c>
      <c r="C81" t="s">
        <v>17</v>
      </c>
      <c r="D81">
        <v>56</v>
      </c>
      <c r="E81" t="s">
        <v>30</v>
      </c>
      <c r="F81" t="s">
        <v>37</v>
      </c>
      <c r="G81">
        <v>61873</v>
      </c>
      <c r="H81" t="s">
        <v>20</v>
      </c>
      <c r="I81" s="1">
        <v>43200</v>
      </c>
    </row>
    <row r="82" spans="1:9" x14ac:dyDescent="0.3">
      <c r="A82" t="s">
        <v>185</v>
      </c>
      <c r="B82" t="s">
        <v>186</v>
      </c>
      <c r="C82" t="s">
        <v>11</v>
      </c>
      <c r="D82">
        <v>21</v>
      </c>
      <c r="E82" t="s">
        <v>30</v>
      </c>
      <c r="F82" t="s">
        <v>42</v>
      </c>
      <c r="G82">
        <v>126532</v>
      </c>
      <c r="H82" t="s">
        <v>14</v>
      </c>
      <c r="I82" s="1">
        <v>45011</v>
      </c>
    </row>
    <row r="83" spans="1:9" x14ac:dyDescent="0.3">
      <c r="A83" t="s">
        <v>187</v>
      </c>
      <c r="B83" t="s">
        <v>188</v>
      </c>
      <c r="C83" t="s">
        <v>17</v>
      </c>
      <c r="D83">
        <v>23</v>
      </c>
      <c r="E83" t="s">
        <v>30</v>
      </c>
      <c r="F83" t="s">
        <v>19</v>
      </c>
      <c r="G83">
        <v>146267</v>
      </c>
      <c r="H83" t="s">
        <v>24</v>
      </c>
      <c r="I83" s="1">
        <v>45791</v>
      </c>
    </row>
    <row r="84" spans="1:9" x14ac:dyDescent="0.3">
      <c r="A84" t="s">
        <v>189</v>
      </c>
      <c r="B84" t="s">
        <v>190</v>
      </c>
      <c r="C84" t="s">
        <v>11</v>
      </c>
      <c r="D84">
        <v>62</v>
      </c>
      <c r="E84" t="s">
        <v>12</v>
      </c>
      <c r="F84" t="s">
        <v>31</v>
      </c>
      <c r="G84">
        <v>160975</v>
      </c>
      <c r="H84" t="s">
        <v>14</v>
      </c>
      <c r="I84" s="1">
        <v>44302</v>
      </c>
    </row>
    <row r="85" spans="1:9" x14ac:dyDescent="0.3">
      <c r="A85" t="s">
        <v>191</v>
      </c>
      <c r="B85" t="s">
        <v>192</v>
      </c>
      <c r="C85" t="s">
        <v>17</v>
      </c>
      <c r="D85">
        <v>49</v>
      </c>
      <c r="E85" t="s">
        <v>34</v>
      </c>
      <c r="F85" t="s">
        <v>27</v>
      </c>
      <c r="G85">
        <v>154092</v>
      </c>
      <c r="H85" t="s">
        <v>24</v>
      </c>
      <c r="I85" s="1">
        <v>44288</v>
      </c>
    </row>
    <row r="86" spans="1:9" x14ac:dyDescent="0.3">
      <c r="A86" t="s">
        <v>193</v>
      </c>
      <c r="B86" t="s">
        <v>194</v>
      </c>
      <c r="C86" t="s">
        <v>11</v>
      </c>
      <c r="D86">
        <v>69</v>
      </c>
      <c r="E86" t="s">
        <v>34</v>
      </c>
      <c r="F86" t="s">
        <v>37</v>
      </c>
      <c r="G86">
        <v>61755</v>
      </c>
      <c r="H86" t="s">
        <v>14</v>
      </c>
      <c r="I86" s="1">
        <v>43838</v>
      </c>
    </row>
    <row r="87" spans="1:9" x14ac:dyDescent="0.3">
      <c r="A87" t="s">
        <v>195</v>
      </c>
      <c r="B87" t="s">
        <v>196</v>
      </c>
      <c r="C87" t="s">
        <v>11</v>
      </c>
      <c r="D87">
        <v>47</v>
      </c>
      <c r="E87" t="s">
        <v>12</v>
      </c>
      <c r="F87" t="s">
        <v>37</v>
      </c>
      <c r="G87">
        <v>105956</v>
      </c>
      <c r="H87" t="s">
        <v>14</v>
      </c>
      <c r="I87" s="1">
        <v>44285</v>
      </c>
    </row>
    <row r="88" spans="1:9" x14ac:dyDescent="0.3">
      <c r="A88" t="s">
        <v>197</v>
      </c>
      <c r="B88" t="s">
        <v>198</v>
      </c>
      <c r="C88" t="s">
        <v>17</v>
      </c>
      <c r="D88">
        <v>64</v>
      </c>
      <c r="E88" t="s">
        <v>34</v>
      </c>
      <c r="F88" t="s">
        <v>27</v>
      </c>
      <c r="G88">
        <v>106988</v>
      </c>
      <c r="H88" t="s">
        <v>14</v>
      </c>
      <c r="I88" s="1">
        <v>45811</v>
      </c>
    </row>
    <row r="89" spans="1:9" x14ac:dyDescent="0.3">
      <c r="A89" t="s">
        <v>199</v>
      </c>
      <c r="B89" t="s">
        <v>200</v>
      </c>
      <c r="C89" t="s">
        <v>11</v>
      </c>
      <c r="D89">
        <v>52</v>
      </c>
      <c r="E89" t="s">
        <v>12</v>
      </c>
      <c r="F89" t="s">
        <v>42</v>
      </c>
      <c r="G89">
        <v>65648</v>
      </c>
      <c r="H89" t="s">
        <v>14</v>
      </c>
      <c r="I89" s="1">
        <v>43744</v>
      </c>
    </row>
    <row r="90" spans="1:9" x14ac:dyDescent="0.3">
      <c r="A90" t="s">
        <v>201</v>
      </c>
      <c r="B90" t="s">
        <v>202</v>
      </c>
      <c r="C90" t="s">
        <v>17</v>
      </c>
      <c r="D90">
        <v>72</v>
      </c>
      <c r="E90" t="s">
        <v>34</v>
      </c>
      <c r="F90" t="s">
        <v>13</v>
      </c>
      <c r="G90">
        <v>145991</v>
      </c>
      <c r="H90" t="s">
        <v>14</v>
      </c>
      <c r="I90" s="1">
        <v>44205</v>
      </c>
    </row>
    <row r="91" spans="1:9" x14ac:dyDescent="0.3">
      <c r="A91" t="s">
        <v>203</v>
      </c>
      <c r="B91" t="s">
        <v>204</v>
      </c>
      <c r="C91" t="s">
        <v>17</v>
      </c>
      <c r="D91">
        <v>57</v>
      </c>
      <c r="E91" t="s">
        <v>18</v>
      </c>
      <c r="F91" t="s">
        <v>31</v>
      </c>
      <c r="G91">
        <v>160588</v>
      </c>
      <c r="H91" t="s">
        <v>14</v>
      </c>
      <c r="I91" s="1">
        <v>42239</v>
      </c>
    </row>
    <row r="92" spans="1:9" x14ac:dyDescent="0.3">
      <c r="A92" t="s">
        <v>205</v>
      </c>
      <c r="B92" t="s">
        <v>206</v>
      </c>
      <c r="C92" t="s">
        <v>17</v>
      </c>
      <c r="D92">
        <v>69</v>
      </c>
      <c r="E92" t="s">
        <v>18</v>
      </c>
      <c r="F92" t="s">
        <v>23</v>
      </c>
      <c r="G92">
        <v>135005</v>
      </c>
      <c r="H92" t="s">
        <v>20</v>
      </c>
      <c r="I92" s="1">
        <v>44775</v>
      </c>
    </row>
    <row r="93" spans="1:9" x14ac:dyDescent="0.3">
      <c r="A93" t="s">
        <v>207</v>
      </c>
      <c r="B93" t="s">
        <v>208</v>
      </c>
      <c r="C93" t="s">
        <v>17</v>
      </c>
      <c r="D93">
        <v>33</v>
      </c>
      <c r="E93" t="s">
        <v>30</v>
      </c>
      <c r="F93" t="s">
        <v>19</v>
      </c>
      <c r="G93">
        <v>22396</v>
      </c>
      <c r="H93" t="s">
        <v>14</v>
      </c>
      <c r="I93" s="1">
        <v>42531</v>
      </c>
    </row>
    <row r="94" spans="1:9" x14ac:dyDescent="0.3">
      <c r="A94" t="s">
        <v>209</v>
      </c>
      <c r="B94" t="s">
        <v>210</v>
      </c>
      <c r="C94" t="s">
        <v>17</v>
      </c>
      <c r="D94">
        <v>30</v>
      </c>
      <c r="E94" t="s">
        <v>18</v>
      </c>
      <c r="F94" t="s">
        <v>23</v>
      </c>
      <c r="G94">
        <v>104082</v>
      </c>
      <c r="H94" t="s">
        <v>14</v>
      </c>
      <c r="I94" s="1">
        <v>43102</v>
      </c>
    </row>
    <row r="95" spans="1:9" x14ac:dyDescent="0.3">
      <c r="A95" t="s">
        <v>211</v>
      </c>
      <c r="B95" t="s">
        <v>212</v>
      </c>
      <c r="C95" t="s">
        <v>17</v>
      </c>
      <c r="D95">
        <v>67</v>
      </c>
      <c r="E95" t="s">
        <v>18</v>
      </c>
      <c r="F95" t="s">
        <v>27</v>
      </c>
      <c r="G95">
        <v>170201</v>
      </c>
      <c r="H95" t="s">
        <v>20</v>
      </c>
      <c r="I95" s="1">
        <v>45234</v>
      </c>
    </row>
    <row r="96" spans="1:9" x14ac:dyDescent="0.3">
      <c r="A96" t="s">
        <v>213</v>
      </c>
      <c r="B96" t="s">
        <v>214</v>
      </c>
      <c r="C96" t="s">
        <v>17</v>
      </c>
      <c r="D96">
        <v>59</v>
      </c>
      <c r="E96" t="s">
        <v>18</v>
      </c>
      <c r="F96" t="s">
        <v>37</v>
      </c>
      <c r="G96">
        <v>148322</v>
      </c>
      <c r="H96" t="s">
        <v>20</v>
      </c>
      <c r="I96" s="1">
        <v>44381</v>
      </c>
    </row>
    <row r="97" spans="1:9" x14ac:dyDescent="0.3">
      <c r="A97" t="s">
        <v>215</v>
      </c>
      <c r="B97" t="s">
        <v>216</v>
      </c>
      <c r="C97" t="s">
        <v>17</v>
      </c>
      <c r="D97">
        <v>47</v>
      </c>
      <c r="E97" t="s">
        <v>12</v>
      </c>
      <c r="F97" t="s">
        <v>42</v>
      </c>
      <c r="G97">
        <v>152663</v>
      </c>
      <c r="H97" t="s">
        <v>14</v>
      </c>
      <c r="I97" s="1">
        <v>42976</v>
      </c>
    </row>
    <row r="98" spans="1:9" x14ac:dyDescent="0.3">
      <c r="A98" t="s">
        <v>217</v>
      </c>
      <c r="B98" t="s">
        <v>218</v>
      </c>
      <c r="C98" t="s">
        <v>17</v>
      </c>
      <c r="D98">
        <v>36</v>
      </c>
      <c r="E98" t="s">
        <v>18</v>
      </c>
      <c r="F98" t="s">
        <v>37</v>
      </c>
      <c r="G98">
        <v>31303</v>
      </c>
      <c r="H98" t="s">
        <v>14</v>
      </c>
      <c r="I98" s="1">
        <v>43091</v>
      </c>
    </row>
    <row r="99" spans="1:9" x14ac:dyDescent="0.3">
      <c r="A99" t="s">
        <v>219</v>
      </c>
      <c r="B99" t="s">
        <v>220</v>
      </c>
      <c r="C99" t="s">
        <v>17</v>
      </c>
      <c r="D99">
        <v>34</v>
      </c>
      <c r="E99" t="s">
        <v>18</v>
      </c>
      <c r="F99" t="s">
        <v>19</v>
      </c>
      <c r="G99">
        <v>181633</v>
      </c>
      <c r="H99" t="s">
        <v>14</v>
      </c>
      <c r="I99" s="1">
        <v>45099</v>
      </c>
    </row>
    <row r="100" spans="1:9" x14ac:dyDescent="0.3">
      <c r="A100" t="s">
        <v>221</v>
      </c>
      <c r="B100" t="s">
        <v>222</v>
      </c>
      <c r="C100" t="s">
        <v>17</v>
      </c>
      <c r="D100">
        <v>73</v>
      </c>
      <c r="E100" t="s">
        <v>30</v>
      </c>
      <c r="F100" t="s">
        <v>37</v>
      </c>
      <c r="G100">
        <v>91719</v>
      </c>
      <c r="H100" t="s">
        <v>14</v>
      </c>
      <c r="I100" s="1">
        <v>44154</v>
      </c>
    </row>
    <row r="101" spans="1:9" x14ac:dyDescent="0.3">
      <c r="A101" t="s">
        <v>223</v>
      </c>
      <c r="B101" t="s">
        <v>224</v>
      </c>
      <c r="C101" t="s">
        <v>11</v>
      </c>
      <c r="D101">
        <v>36</v>
      </c>
      <c r="E101" t="s">
        <v>18</v>
      </c>
      <c r="F101" t="s">
        <v>37</v>
      </c>
      <c r="G101">
        <v>119616</v>
      </c>
      <c r="H101" t="s">
        <v>20</v>
      </c>
      <c r="I101" s="1">
        <v>44942</v>
      </c>
    </row>
    <row r="102" spans="1:9" x14ac:dyDescent="0.3">
      <c r="A102" t="s">
        <v>225</v>
      </c>
      <c r="B102" t="s">
        <v>226</v>
      </c>
      <c r="C102" t="s">
        <v>11</v>
      </c>
      <c r="D102">
        <v>45</v>
      </c>
      <c r="E102" t="s">
        <v>18</v>
      </c>
      <c r="F102" t="s">
        <v>19</v>
      </c>
      <c r="G102">
        <v>144165</v>
      </c>
      <c r="H102" t="s">
        <v>14</v>
      </c>
      <c r="I102" s="1">
        <v>44018</v>
      </c>
    </row>
    <row r="103" spans="1:9" x14ac:dyDescent="0.3">
      <c r="A103" t="s">
        <v>227</v>
      </c>
      <c r="B103" t="s">
        <v>228</v>
      </c>
      <c r="C103" t="s">
        <v>17</v>
      </c>
      <c r="D103">
        <v>72</v>
      </c>
      <c r="E103" t="s">
        <v>34</v>
      </c>
      <c r="F103" t="s">
        <v>31</v>
      </c>
      <c r="G103">
        <v>106231</v>
      </c>
      <c r="H103" t="s">
        <v>14</v>
      </c>
      <c r="I103" s="1">
        <v>44560</v>
      </c>
    </row>
    <row r="104" spans="1:9" x14ac:dyDescent="0.3">
      <c r="A104" t="s">
        <v>229</v>
      </c>
      <c r="B104" t="s">
        <v>230</v>
      </c>
      <c r="C104" t="s">
        <v>17</v>
      </c>
      <c r="D104">
        <v>43</v>
      </c>
      <c r="E104" t="s">
        <v>30</v>
      </c>
      <c r="F104" t="s">
        <v>31</v>
      </c>
      <c r="G104">
        <v>27314</v>
      </c>
      <c r="H104" t="s">
        <v>20</v>
      </c>
      <c r="I104" s="1">
        <v>44706</v>
      </c>
    </row>
    <row r="105" spans="1:9" x14ac:dyDescent="0.3">
      <c r="A105" t="s">
        <v>231</v>
      </c>
      <c r="B105" t="s">
        <v>232</v>
      </c>
      <c r="C105" t="s">
        <v>17</v>
      </c>
      <c r="D105">
        <v>54</v>
      </c>
      <c r="E105" t="s">
        <v>30</v>
      </c>
      <c r="F105" t="s">
        <v>19</v>
      </c>
      <c r="G105">
        <v>39623</v>
      </c>
      <c r="H105" t="s">
        <v>14</v>
      </c>
      <c r="I105" s="1">
        <v>42645</v>
      </c>
    </row>
    <row r="106" spans="1:9" x14ac:dyDescent="0.3">
      <c r="A106" t="s">
        <v>233</v>
      </c>
      <c r="B106" t="s">
        <v>234</v>
      </c>
      <c r="C106" t="s">
        <v>17</v>
      </c>
      <c r="D106">
        <v>43</v>
      </c>
      <c r="E106" t="s">
        <v>30</v>
      </c>
      <c r="F106" t="s">
        <v>42</v>
      </c>
      <c r="G106">
        <v>125228</v>
      </c>
      <c r="H106" t="s">
        <v>14</v>
      </c>
      <c r="I106" s="1">
        <v>45748</v>
      </c>
    </row>
    <row r="107" spans="1:9" x14ac:dyDescent="0.3">
      <c r="A107" t="s">
        <v>235</v>
      </c>
      <c r="B107" t="s">
        <v>236</v>
      </c>
      <c r="C107" t="s">
        <v>17</v>
      </c>
      <c r="D107">
        <v>70</v>
      </c>
      <c r="E107" t="s">
        <v>30</v>
      </c>
      <c r="F107" t="s">
        <v>27</v>
      </c>
      <c r="G107">
        <v>184202</v>
      </c>
      <c r="H107" t="s">
        <v>14</v>
      </c>
      <c r="I107" s="1">
        <v>42940</v>
      </c>
    </row>
    <row r="108" spans="1:9" x14ac:dyDescent="0.3">
      <c r="A108" t="s">
        <v>237</v>
      </c>
      <c r="B108" t="s">
        <v>238</v>
      </c>
      <c r="C108" t="s">
        <v>17</v>
      </c>
      <c r="D108">
        <v>40</v>
      </c>
      <c r="E108" t="s">
        <v>30</v>
      </c>
      <c r="F108" t="s">
        <v>37</v>
      </c>
      <c r="G108">
        <v>117624</v>
      </c>
      <c r="H108" t="s">
        <v>24</v>
      </c>
      <c r="I108" s="1">
        <v>45720</v>
      </c>
    </row>
    <row r="109" spans="1:9" x14ac:dyDescent="0.3">
      <c r="A109" t="s">
        <v>239</v>
      </c>
      <c r="B109" t="s">
        <v>240</v>
      </c>
      <c r="C109" t="s">
        <v>17</v>
      </c>
      <c r="D109">
        <v>26</v>
      </c>
      <c r="E109" t="s">
        <v>30</v>
      </c>
      <c r="F109" t="s">
        <v>42</v>
      </c>
      <c r="G109">
        <v>177364</v>
      </c>
      <c r="H109" t="s">
        <v>14</v>
      </c>
      <c r="I109" s="1">
        <v>44224</v>
      </c>
    </row>
    <row r="110" spans="1:9" x14ac:dyDescent="0.3">
      <c r="A110" t="s">
        <v>241</v>
      </c>
      <c r="B110" t="s">
        <v>242</v>
      </c>
      <c r="C110" t="s">
        <v>17</v>
      </c>
      <c r="D110">
        <v>29</v>
      </c>
      <c r="E110" t="s">
        <v>12</v>
      </c>
      <c r="F110" t="s">
        <v>37</v>
      </c>
      <c r="G110">
        <v>131785</v>
      </c>
      <c r="H110" t="s">
        <v>20</v>
      </c>
      <c r="I110" s="1">
        <v>44077</v>
      </c>
    </row>
    <row r="111" spans="1:9" x14ac:dyDescent="0.3">
      <c r="A111" t="s">
        <v>243</v>
      </c>
      <c r="B111" t="s">
        <v>244</v>
      </c>
      <c r="C111" t="s">
        <v>11</v>
      </c>
      <c r="D111">
        <v>70</v>
      </c>
      <c r="E111" t="s">
        <v>18</v>
      </c>
      <c r="F111" t="s">
        <v>27</v>
      </c>
      <c r="G111">
        <v>106206</v>
      </c>
      <c r="H111" t="s">
        <v>14</v>
      </c>
      <c r="I111" s="1">
        <v>43256</v>
      </c>
    </row>
    <row r="112" spans="1:9" x14ac:dyDescent="0.3">
      <c r="A112" t="s">
        <v>245</v>
      </c>
      <c r="B112" t="s">
        <v>246</v>
      </c>
      <c r="C112" t="s">
        <v>17</v>
      </c>
      <c r="D112">
        <v>18</v>
      </c>
      <c r="E112" t="s">
        <v>30</v>
      </c>
      <c r="F112" t="s">
        <v>31</v>
      </c>
      <c r="G112">
        <v>89274</v>
      </c>
      <c r="H112" t="s">
        <v>14</v>
      </c>
      <c r="I112" s="1">
        <v>43657</v>
      </c>
    </row>
    <row r="113" spans="1:9" x14ac:dyDescent="0.3">
      <c r="A113" t="s">
        <v>247</v>
      </c>
      <c r="B113" t="s">
        <v>248</v>
      </c>
      <c r="C113" t="s">
        <v>11</v>
      </c>
      <c r="D113">
        <v>18</v>
      </c>
      <c r="E113" t="s">
        <v>18</v>
      </c>
      <c r="F113" t="s">
        <v>42</v>
      </c>
      <c r="G113">
        <v>153541</v>
      </c>
      <c r="H113" t="s">
        <v>20</v>
      </c>
      <c r="I113" s="1">
        <v>43931</v>
      </c>
    </row>
    <row r="114" spans="1:9" x14ac:dyDescent="0.3">
      <c r="A114" t="s">
        <v>249</v>
      </c>
      <c r="B114" t="s">
        <v>250</v>
      </c>
      <c r="C114" t="s">
        <v>17</v>
      </c>
      <c r="D114">
        <v>64</v>
      </c>
      <c r="E114" t="s">
        <v>18</v>
      </c>
      <c r="F114" t="s">
        <v>13</v>
      </c>
      <c r="G114">
        <v>73947</v>
      </c>
      <c r="H114" t="s">
        <v>24</v>
      </c>
      <c r="I114" s="1">
        <v>42445</v>
      </c>
    </row>
    <row r="115" spans="1:9" x14ac:dyDescent="0.3">
      <c r="A115" t="s">
        <v>251</v>
      </c>
      <c r="B115" t="s">
        <v>252</v>
      </c>
      <c r="C115" t="s">
        <v>17</v>
      </c>
      <c r="D115">
        <v>51</v>
      </c>
      <c r="E115" t="s">
        <v>12</v>
      </c>
      <c r="F115" t="s">
        <v>13</v>
      </c>
      <c r="G115">
        <v>173606</v>
      </c>
      <c r="H115" t="s">
        <v>20</v>
      </c>
      <c r="I115" s="1">
        <v>43658</v>
      </c>
    </row>
    <row r="116" spans="1:9" x14ac:dyDescent="0.3">
      <c r="A116" t="s">
        <v>253</v>
      </c>
      <c r="B116" t="s">
        <v>254</v>
      </c>
      <c r="C116" t="s">
        <v>11</v>
      </c>
      <c r="D116">
        <v>49</v>
      </c>
      <c r="E116" t="s">
        <v>30</v>
      </c>
      <c r="F116" t="s">
        <v>13</v>
      </c>
      <c r="G116">
        <v>68874</v>
      </c>
      <c r="H116" t="s">
        <v>20</v>
      </c>
      <c r="I116" s="1">
        <v>45532</v>
      </c>
    </row>
    <row r="117" spans="1:9" x14ac:dyDescent="0.3">
      <c r="A117" t="s">
        <v>255</v>
      </c>
      <c r="B117" t="s">
        <v>256</v>
      </c>
      <c r="C117" t="s">
        <v>17</v>
      </c>
      <c r="D117">
        <v>71</v>
      </c>
      <c r="E117" t="s">
        <v>34</v>
      </c>
      <c r="F117" t="s">
        <v>31</v>
      </c>
      <c r="G117">
        <v>69708</v>
      </c>
      <c r="H117" t="s">
        <v>20</v>
      </c>
      <c r="I117" s="1">
        <v>45797</v>
      </c>
    </row>
    <row r="118" spans="1:9" x14ac:dyDescent="0.3">
      <c r="A118" t="s">
        <v>257</v>
      </c>
      <c r="B118" t="s">
        <v>258</v>
      </c>
      <c r="C118" t="s">
        <v>11</v>
      </c>
      <c r="D118">
        <v>65</v>
      </c>
      <c r="E118" t="s">
        <v>12</v>
      </c>
      <c r="F118" t="s">
        <v>31</v>
      </c>
      <c r="G118">
        <v>94553</v>
      </c>
      <c r="H118" t="s">
        <v>14</v>
      </c>
      <c r="I118" s="1">
        <v>45706</v>
      </c>
    </row>
    <row r="119" spans="1:9" x14ac:dyDescent="0.3">
      <c r="A119" t="s">
        <v>259</v>
      </c>
      <c r="B119" t="s">
        <v>260</v>
      </c>
      <c r="C119" t="s">
        <v>17</v>
      </c>
      <c r="D119">
        <v>42</v>
      </c>
      <c r="E119" t="s">
        <v>34</v>
      </c>
      <c r="F119" t="s">
        <v>27</v>
      </c>
      <c r="G119">
        <v>88344</v>
      </c>
      <c r="H119" t="s">
        <v>14</v>
      </c>
      <c r="I119" s="1">
        <v>45720</v>
      </c>
    </row>
    <row r="120" spans="1:9" x14ac:dyDescent="0.3">
      <c r="A120" t="s">
        <v>261</v>
      </c>
      <c r="B120" t="s">
        <v>262</v>
      </c>
      <c r="C120" t="s">
        <v>17</v>
      </c>
      <c r="D120">
        <v>57</v>
      </c>
      <c r="E120" t="s">
        <v>18</v>
      </c>
      <c r="F120" t="s">
        <v>37</v>
      </c>
      <c r="G120">
        <v>69138</v>
      </c>
      <c r="H120" t="s">
        <v>20</v>
      </c>
      <c r="I120" s="1">
        <v>43821</v>
      </c>
    </row>
    <row r="121" spans="1:9" x14ac:dyDescent="0.3">
      <c r="A121" t="s">
        <v>263</v>
      </c>
      <c r="B121" t="s">
        <v>264</v>
      </c>
      <c r="C121" t="s">
        <v>11</v>
      </c>
      <c r="D121">
        <v>62</v>
      </c>
      <c r="E121" t="s">
        <v>18</v>
      </c>
      <c r="F121" t="s">
        <v>27</v>
      </c>
      <c r="G121">
        <v>67638</v>
      </c>
      <c r="H121" t="s">
        <v>14</v>
      </c>
      <c r="I121" s="1">
        <v>43555</v>
      </c>
    </row>
    <row r="122" spans="1:9" x14ac:dyDescent="0.3">
      <c r="A122" t="s">
        <v>265</v>
      </c>
      <c r="B122" t="s">
        <v>266</v>
      </c>
      <c r="C122" t="s">
        <v>17</v>
      </c>
      <c r="D122">
        <v>70</v>
      </c>
      <c r="E122" t="s">
        <v>12</v>
      </c>
      <c r="F122" t="s">
        <v>27</v>
      </c>
      <c r="G122">
        <v>98249</v>
      </c>
      <c r="H122" t="s">
        <v>20</v>
      </c>
      <c r="I122" s="1">
        <v>45094</v>
      </c>
    </row>
    <row r="123" spans="1:9" x14ac:dyDescent="0.3">
      <c r="A123" t="s">
        <v>267</v>
      </c>
      <c r="B123" t="s">
        <v>268</v>
      </c>
      <c r="C123" t="s">
        <v>11</v>
      </c>
      <c r="D123">
        <v>18</v>
      </c>
      <c r="E123" t="s">
        <v>12</v>
      </c>
      <c r="F123" t="s">
        <v>31</v>
      </c>
      <c r="G123">
        <v>125865</v>
      </c>
      <c r="H123" t="s">
        <v>24</v>
      </c>
      <c r="I123" s="1">
        <v>42270</v>
      </c>
    </row>
    <row r="124" spans="1:9" x14ac:dyDescent="0.3">
      <c r="A124" t="s">
        <v>269</v>
      </c>
      <c r="B124" t="s">
        <v>270</v>
      </c>
      <c r="C124" t="s">
        <v>17</v>
      </c>
      <c r="D124">
        <v>33</v>
      </c>
      <c r="E124" t="s">
        <v>34</v>
      </c>
      <c r="F124" t="s">
        <v>13</v>
      </c>
      <c r="G124">
        <v>22719</v>
      </c>
      <c r="H124" t="s">
        <v>14</v>
      </c>
      <c r="I124" s="1">
        <v>42921</v>
      </c>
    </row>
    <row r="125" spans="1:9" x14ac:dyDescent="0.3">
      <c r="A125" t="s">
        <v>271</v>
      </c>
      <c r="B125" t="s">
        <v>272</v>
      </c>
      <c r="C125" t="s">
        <v>11</v>
      </c>
      <c r="D125">
        <v>56</v>
      </c>
      <c r="E125" t="s">
        <v>30</v>
      </c>
      <c r="F125" t="s">
        <v>23</v>
      </c>
      <c r="G125">
        <v>173962</v>
      </c>
      <c r="H125" t="s">
        <v>14</v>
      </c>
      <c r="I125" s="1">
        <v>44752</v>
      </c>
    </row>
    <row r="126" spans="1:9" x14ac:dyDescent="0.3">
      <c r="A126" t="s">
        <v>273</v>
      </c>
      <c r="B126" t="s">
        <v>274</v>
      </c>
      <c r="C126" t="s">
        <v>11</v>
      </c>
      <c r="D126">
        <v>22</v>
      </c>
      <c r="E126" t="s">
        <v>34</v>
      </c>
      <c r="F126" t="s">
        <v>37</v>
      </c>
      <c r="G126">
        <v>187581</v>
      </c>
      <c r="H126" t="s">
        <v>20</v>
      </c>
      <c r="I126" s="1">
        <v>42754</v>
      </c>
    </row>
    <row r="127" spans="1:9" x14ac:dyDescent="0.3">
      <c r="A127" t="s">
        <v>275</v>
      </c>
      <c r="B127" t="s">
        <v>276</v>
      </c>
      <c r="C127" t="s">
        <v>17</v>
      </c>
      <c r="D127">
        <v>39</v>
      </c>
      <c r="E127" t="s">
        <v>12</v>
      </c>
      <c r="F127" t="s">
        <v>31</v>
      </c>
      <c r="G127">
        <v>62534</v>
      </c>
      <c r="H127" t="s">
        <v>14</v>
      </c>
      <c r="I127" s="1">
        <v>43891</v>
      </c>
    </row>
    <row r="128" spans="1:9" x14ac:dyDescent="0.3">
      <c r="A128" t="s">
        <v>277</v>
      </c>
      <c r="B128" t="s">
        <v>278</v>
      </c>
      <c r="C128" t="s">
        <v>17</v>
      </c>
      <c r="D128">
        <v>46</v>
      </c>
      <c r="E128" t="s">
        <v>34</v>
      </c>
      <c r="F128" t="s">
        <v>13</v>
      </c>
      <c r="G128">
        <v>112241</v>
      </c>
      <c r="H128" t="s">
        <v>20</v>
      </c>
      <c r="I128" s="1">
        <v>42374</v>
      </c>
    </row>
    <row r="129" spans="1:9" x14ac:dyDescent="0.3">
      <c r="A129" t="s">
        <v>279</v>
      </c>
      <c r="B129" t="s">
        <v>280</v>
      </c>
      <c r="C129" t="s">
        <v>11</v>
      </c>
      <c r="D129">
        <v>72</v>
      </c>
      <c r="E129" t="s">
        <v>12</v>
      </c>
      <c r="F129" t="s">
        <v>42</v>
      </c>
      <c r="G129">
        <v>169859</v>
      </c>
      <c r="H129" t="s">
        <v>14</v>
      </c>
      <c r="I129" s="1">
        <v>45039</v>
      </c>
    </row>
    <row r="130" spans="1:9" x14ac:dyDescent="0.3">
      <c r="A130" t="s">
        <v>281</v>
      </c>
      <c r="B130" t="s">
        <v>282</v>
      </c>
      <c r="C130" t="s">
        <v>17</v>
      </c>
      <c r="D130">
        <v>20</v>
      </c>
      <c r="E130" t="s">
        <v>34</v>
      </c>
      <c r="F130" t="s">
        <v>23</v>
      </c>
      <c r="G130">
        <v>146209</v>
      </c>
      <c r="H130" t="s">
        <v>20</v>
      </c>
      <c r="I130" s="1">
        <v>43517</v>
      </c>
    </row>
    <row r="131" spans="1:9" x14ac:dyDescent="0.3">
      <c r="A131" t="s">
        <v>283</v>
      </c>
      <c r="B131" t="s">
        <v>284</v>
      </c>
      <c r="C131" t="s">
        <v>17</v>
      </c>
      <c r="D131">
        <v>29</v>
      </c>
      <c r="E131" t="s">
        <v>12</v>
      </c>
      <c r="F131" t="s">
        <v>23</v>
      </c>
      <c r="G131">
        <v>199917</v>
      </c>
      <c r="H131" t="s">
        <v>14</v>
      </c>
      <c r="I131" s="1">
        <v>45498</v>
      </c>
    </row>
    <row r="132" spans="1:9" x14ac:dyDescent="0.3">
      <c r="A132" t="s">
        <v>285</v>
      </c>
      <c r="B132" t="s">
        <v>286</v>
      </c>
      <c r="C132" t="s">
        <v>17</v>
      </c>
      <c r="D132">
        <v>43</v>
      </c>
      <c r="E132" t="s">
        <v>12</v>
      </c>
      <c r="F132" t="s">
        <v>31</v>
      </c>
      <c r="G132">
        <v>112124</v>
      </c>
      <c r="H132" t="s">
        <v>20</v>
      </c>
      <c r="I132" s="1">
        <v>43955</v>
      </c>
    </row>
    <row r="133" spans="1:9" x14ac:dyDescent="0.3">
      <c r="A133" t="s">
        <v>287</v>
      </c>
      <c r="B133" t="s">
        <v>288</v>
      </c>
      <c r="C133" t="s">
        <v>11</v>
      </c>
      <c r="D133">
        <v>33</v>
      </c>
      <c r="E133" t="s">
        <v>12</v>
      </c>
      <c r="F133" t="s">
        <v>19</v>
      </c>
      <c r="G133">
        <v>111659</v>
      </c>
      <c r="H133" t="s">
        <v>14</v>
      </c>
      <c r="I133" s="1">
        <v>43143</v>
      </c>
    </row>
    <row r="134" spans="1:9" x14ac:dyDescent="0.3">
      <c r="A134" t="s">
        <v>289</v>
      </c>
      <c r="B134" t="s">
        <v>290</v>
      </c>
      <c r="C134" t="s">
        <v>11</v>
      </c>
      <c r="D134">
        <v>68</v>
      </c>
      <c r="E134" t="s">
        <v>30</v>
      </c>
      <c r="F134" t="s">
        <v>37</v>
      </c>
      <c r="G134">
        <v>184134</v>
      </c>
      <c r="H134" t="s">
        <v>14</v>
      </c>
      <c r="I134" s="1">
        <v>44454</v>
      </c>
    </row>
    <row r="135" spans="1:9" x14ac:dyDescent="0.3">
      <c r="A135" t="s">
        <v>291</v>
      </c>
      <c r="B135" t="s">
        <v>292</v>
      </c>
      <c r="C135" t="s">
        <v>11</v>
      </c>
      <c r="D135">
        <v>54</v>
      </c>
      <c r="E135" t="s">
        <v>34</v>
      </c>
      <c r="F135" t="s">
        <v>23</v>
      </c>
      <c r="G135">
        <v>95713</v>
      </c>
      <c r="H135" t="s">
        <v>14</v>
      </c>
      <c r="I135" s="1">
        <v>43302</v>
      </c>
    </row>
    <row r="136" spans="1:9" x14ac:dyDescent="0.3">
      <c r="A136" t="s">
        <v>293</v>
      </c>
      <c r="B136" t="s">
        <v>294</v>
      </c>
      <c r="C136" t="s">
        <v>11</v>
      </c>
      <c r="D136">
        <v>39</v>
      </c>
      <c r="E136" t="s">
        <v>34</v>
      </c>
      <c r="F136" t="s">
        <v>31</v>
      </c>
      <c r="G136">
        <v>95418</v>
      </c>
      <c r="H136" t="s">
        <v>20</v>
      </c>
      <c r="I136" s="1">
        <v>43262</v>
      </c>
    </row>
    <row r="137" spans="1:9" x14ac:dyDescent="0.3">
      <c r="A137" t="s">
        <v>295</v>
      </c>
      <c r="B137" t="s">
        <v>296</v>
      </c>
      <c r="C137" t="s">
        <v>11</v>
      </c>
      <c r="D137">
        <v>74</v>
      </c>
      <c r="E137" t="s">
        <v>34</v>
      </c>
      <c r="F137" t="s">
        <v>31</v>
      </c>
      <c r="G137">
        <v>148232</v>
      </c>
      <c r="H137" t="s">
        <v>20</v>
      </c>
      <c r="I137" s="1">
        <v>45439</v>
      </c>
    </row>
    <row r="138" spans="1:9" x14ac:dyDescent="0.3">
      <c r="A138" t="s">
        <v>297</v>
      </c>
      <c r="B138" t="s">
        <v>298</v>
      </c>
      <c r="C138" t="s">
        <v>11</v>
      </c>
      <c r="D138">
        <v>46</v>
      </c>
      <c r="E138" t="s">
        <v>12</v>
      </c>
      <c r="F138" t="s">
        <v>13</v>
      </c>
      <c r="G138">
        <v>185904</v>
      </c>
      <c r="H138" t="s">
        <v>14</v>
      </c>
      <c r="I138" s="1">
        <v>43594</v>
      </c>
    </row>
    <row r="139" spans="1:9" x14ac:dyDescent="0.3">
      <c r="A139" t="s">
        <v>299</v>
      </c>
      <c r="B139" t="s">
        <v>300</v>
      </c>
      <c r="C139" t="s">
        <v>11</v>
      </c>
      <c r="D139">
        <v>31</v>
      </c>
      <c r="E139" t="s">
        <v>34</v>
      </c>
      <c r="F139" t="s">
        <v>42</v>
      </c>
      <c r="G139">
        <v>183038</v>
      </c>
      <c r="H139" t="s">
        <v>14</v>
      </c>
      <c r="I139" s="1">
        <v>42817</v>
      </c>
    </row>
    <row r="140" spans="1:9" x14ac:dyDescent="0.3">
      <c r="A140" t="s">
        <v>301</v>
      </c>
      <c r="B140" t="s">
        <v>302</v>
      </c>
      <c r="C140" t="s">
        <v>11</v>
      </c>
      <c r="D140">
        <v>45</v>
      </c>
      <c r="E140" t="s">
        <v>34</v>
      </c>
      <c r="F140" t="s">
        <v>19</v>
      </c>
      <c r="G140">
        <v>164059</v>
      </c>
      <c r="H140" t="s">
        <v>14</v>
      </c>
      <c r="I140" s="1">
        <v>45619</v>
      </c>
    </row>
    <row r="141" spans="1:9" x14ac:dyDescent="0.3">
      <c r="A141" t="s">
        <v>303</v>
      </c>
      <c r="B141" t="s">
        <v>304</v>
      </c>
      <c r="C141" t="s">
        <v>11</v>
      </c>
      <c r="D141">
        <v>22</v>
      </c>
      <c r="E141" t="s">
        <v>12</v>
      </c>
      <c r="F141" t="s">
        <v>37</v>
      </c>
      <c r="G141">
        <v>188383</v>
      </c>
      <c r="H141" t="s">
        <v>20</v>
      </c>
      <c r="I141" s="1">
        <v>43371</v>
      </c>
    </row>
    <row r="142" spans="1:9" x14ac:dyDescent="0.3">
      <c r="A142" t="s">
        <v>305</v>
      </c>
      <c r="B142" t="s">
        <v>306</v>
      </c>
      <c r="C142" t="s">
        <v>17</v>
      </c>
      <c r="D142">
        <v>64</v>
      </c>
      <c r="E142" t="s">
        <v>18</v>
      </c>
      <c r="F142" t="s">
        <v>27</v>
      </c>
      <c r="G142">
        <v>51575</v>
      </c>
      <c r="H142" t="s">
        <v>20</v>
      </c>
      <c r="I142" s="1">
        <v>43326</v>
      </c>
    </row>
    <row r="143" spans="1:9" x14ac:dyDescent="0.3">
      <c r="A143" t="s">
        <v>307</v>
      </c>
      <c r="B143" t="s">
        <v>308</v>
      </c>
      <c r="C143" t="s">
        <v>11</v>
      </c>
      <c r="D143">
        <v>66</v>
      </c>
      <c r="E143" t="s">
        <v>12</v>
      </c>
      <c r="F143" t="s">
        <v>42</v>
      </c>
      <c r="G143">
        <v>83852</v>
      </c>
      <c r="H143" t="s">
        <v>14</v>
      </c>
      <c r="I143" s="1">
        <v>45560</v>
      </c>
    </row>
    <row r="144" spans="1:9" x14ac:dyDescent="0.3">
      <c r="A144" t="s">
        <v>309</v>
      </c>
      <c r="B144" t="s">
        <v>310</v>
      </c>
      <c r="C144" t="s">
        <v>17</v>
      </c>
      <c r="D144">
        <v>47</v>
      </c>
      <c r="E144" t="s">
        <v>34</v>
      </c>
      <c r="F144" t="s">
        <v>42</v>
      </c>
      <c r="G144">
        <v>152079</v>
      </c>
      <c r="H144" t="s">
        <v>14</v>
      </c>
      <c r="I144" s="1">
        <v>44528</v>
      </c>
    </row>
    <row r="145" spans="1:9" x14ac:dyDescent="0.3">
      <c r="A145" t="s">
        <v>311</v>
      </c>
      <c r="B145" t="s">
        <v>312</v>
      </c>
      <c r="C145" t="s">
        <v>17</v>
      </c>
      <c r="D145">
        <v>63</v>
      </c>
      <c r="E145" t="s">
        <v>12</v>
      </c>
      <c r="F145" t="s">
        <v>13</v>
      </c>
      <c r="G145">
        <v>96242</v>
      </c>
      <c r="H145" t="s">
        <v>14</v>
      </c>
      <c r="I145" s="1">
        <v>43084</v>
      </c>
    </row>
    <row r="146" spans="1:9" x14ac:dyDescent="0.3">
      <c r="A146" t="s">
        <v>313</v>
      </c>
      <c r="B146" t="s">
        <v>314</v>
      </c>
      <c r="C146" t="s">
        <v>17</v>
      </c>
      <c r="D146">
        <v>69</v>
      </c>
      <c r="E146" t="s">
        <v>18</v>
      </c>
      <c r="F146" t="s">
        <v>23</v>
      </c>
      <c r="G146">
        <v>198589</v>
      </c>
      <c r="H146" t="s">
        <v>14</v>
      </c>
      <c r="I146" s="1">
        <v>43588</v>
      </c>
    </row>
    <row r="147" spans="1:9" x14ac:dyDescent="0.3">
      <c r="A147" t="s">
        <v>315</v>
      </c>
      <c r="B147" t="s">
        <v>316</v>
      </c>
      <c r="C147" t="s">
        <v>11</v>
      </c>
      <c r="D147">
        <v>22</v>
      </c>
      <c r="E147" t="s">
        <v>12</v>
      </c>
      <c r="F147" t="s">
        <v>23</v>
      </c>
      <c r="G147">
        <v>49257</v>
      </c>
      <c r="H147" t="s">
        <v>14</v>
      </c>
      <c r="I147" s="1">
        <v>44029</v>
      </c>
    </row>
    <row r="148" spans="1:9" x14ac:dyDescent="0.3">
      <c r="A148" t="s">
        <v>317</v>
      </c>
      <c r="B148" t="s">
        <v>318</v>
      </c>
      <c r="C148" t="s">
        <v>11</v>
      </c>
      <c r="D148">
        <v>29</v>
      </c>
      <c r="E148" t="s">
        <v>34</v>
      </c>
      <c r="F148" t="s">
        <v>13</v>
      </c>
      <c r="G148">
        <v>193279</v>
      </c>
      <c r="H148" t="s">
        <v>24</v>
      </c>
      <c r="I148" s="1">
        <v>43888</v>
      </c>
    </row>
    <row r="149" spans="1:9" x14ac:dyDescent="0.3">
      <c r="A149" t="s">
        <v>319</v>
      </c>
      <c r="B149" t="s">
        <v>320</v>
      </c>
      <c r="C149" t="s">
        <v>11</v>
      </c>
      <c r="D149">
        <v>33</v>
      </c>
      <c r="E149" t="s">
        <v>18</v>
      </c>
      <c r="F149" t="s">
        <v>31</v>
      </c>
      <c r="G149">
        <v>164353</v>
      </c>
      <c r="H149" t="s">
        <v>14</v>
      </c>
      <c r="I149" s="1">
        <v>43337</v>
      </c>
    </row>
    <row r="150" spans="1:9" x14ac:dyDescent="0.3">
      <c r="A150" t="s">
        <v>321</v>
      </c>
      <c r="B150" t="s">
        <v>322</v>
      </c>
      <c r="C150" t="s">
        <v>11</v>
      </c>
      <c r="D150">
        <v>43</v>
      </c>
      <c r="E150" t="s">
        <v>30</v>
      </c>
      <c r="F150" t="s">
        <v>23</v>
      </c>
      <c r="G150">
        <v>81246</v>
      </c>
      <c r="H150" t="s">
        <v>20</v>
      </c>
      <c r="I150" s="1">
        <v>44893</v>
      </c>
    </row>
    <row r="151" spans="1:9" x14ac:dyDescent="0.3">
      <c r="A151" t="s">
        <v>323</v>
      </c>
      <c r="B151" t="s">
        <v>324</v>
      </c>
      <c r="C151" t="s">
        <v>17</v>
      </c>
      <c r="D151">
        <v>43</v>
      </c>
      <c r="E151" t="s">
        <v>34</v>
      </c>
      <c r="F151" t="s">
        <v>19</v>
      </c>
      <c r="G151">
        <v>21435</v>
      </c>
      <c r="H151" t="s">
        <v>14</v>
      </c>
      <c r="I151" s="1">
        <v>44015</v>
      </c>
    </row>
    <row r="152" spans="1:9" x14ac:dyDescent="0.3">
      <c r="A152" t="s">
        <v>325</v>
      </c>
      <c r="B152" t="s">
        <v>326</v>
      </c>
      <c r="C152" t="s">
        <v>11</v>
      </c>
      <c r="D152">
        <v>65</v>
      </c>
      <c r="E152" t="s">
        <v>18</v>
      </c>
      <c r="F152" t="s">
        <v>37</v>
      </c>
      <c r="G152">
        <v>111357</v>
      </c>
      <c r="H152" t="s">
        <v>14</v>
      </c>
      <c r="I152" s="1">
        <v>43949</v>
      </c>
    </row>
    <row r="153" spans="1:9" x14ac:dyDescent="0.3">
      <c r="A153" t="s">
        <v>327</v>
      </c>
      <c r="B153" t="s">
        <v>328</v>
      </c>
      <c r="C153" t="s">
        <v>11</v>
      </c>
      <c r="D153">
        <v>38</v>
      </c>
      <c r="E153" t="s">
        <v>18</v>
      </c>
      <c r="F153" t="s">
        <v>42</v>
      </c>
      <c r="G153">
        <v>177732</v>
      </c>
      <c r="H153" t="s">
        <v>20</v>
      </c>
      <c r="I153" s="1">
        <v>43409</v>
      </c>
    </row>
    <row r="154" spans="1:9" x14ac:dyDescent="0.3">
      <c r="A154" t="s">
        <v>329</v>
      </c>
      <c r="B154" t="s">
        <v>330</v>
      </c>
      <c r="C154" t="s">
        <v>11</v>
      </c>
      <c r="D154">
        <v>56</v>
      </c>
      <c r="E154" t="s">
        <v>30</v>
      </c>
      <c r="F154" t="s">
        <v>42</v>
      </c>
      <c r="G154">
        <v>156156</v>
      </c>
      <c r="H154" t="s">
        <v>20</v>
      </c>
      <c r="I154" s="1">
        <v>42365</v>
      </c>
    </row>
    <row r="155" spans="1:9" x14ac:dyDescent="0.3">
      <c r="A155" t="s">
        <v>331</v>
      </c>
      <c r="B155" t="s">
        <v>332</v>
      </c>
      <c r="C155" t="s">
        <v>11</v>
      </c>
      <c r="D155">
        <v>53</v>
      </c>
      <c r="E155" t="s">
        <v>12</v>
      </c>
      <c r="F155" t="s">
        <v>19</v>
      </c>
      <c r="G155">
        <v>164579</v>
      </c>
      <c r="H155" t="s">
        <v>24</v>
      </c>
      <c r="I155" s="1">
        <v>42280</v>
      </c>
    </row>
    <row r="156" spans="1:9" x14ac:dyDescent="0.3">
      <c r="A156" t="s">
        <v>333</v>
      </c>
      <c r="B156" t="s">
        <v>334</v>
      </c>
      <c r="C156" t="s">
        <v>11</v>
      </c>
      <c r="D156">
        <v>50</v>
      </c>
      <c r="E156" t="s">
        <v>12</v>
      </c>
      <c r="F156" t="s">
        <v>23</v>
      </c>
      <c r="G156">
        <v>103807</v>
      </c>
      <c r="H156" t="s">
        <v>14</v>
      </c>
      <c r="I156" s="1">
        <v>45264</v>
      </c>
    </row>
    <row r="157" spans="1:9" x14ac:dyDescent="0.3">
      <c r="A157" t="s">
        <v>335</v>
      </c>
      <c r="B157" t="s">
        <v>336</v>
      </c>
      <c r="C157" t="s">
        <v>17</v>
      </c>
      <c r="D157">
        <v>47</v>
      </c>
      <c r="E157" t="s">
        <v>34</v>
      </c>
      <c r="F157" t="s">
        <v>42</v>
      </c>
      <c r="G157">
        <v>196611</v>
      </c>
      <c r="H157" t="s">
        <v>14</v>
      </c>
      <c r="I157" s="1">
        <v>44850</v>
      </c>
    </row>
    <row r="158" spans="1:9" x14ac:dyDescent="0.3">
      <c r="A158" t="s">
        <v>337</v>
      </c>
      <c r="B158" t="s">
        <v>338</v>
      </c>
      <c r="C158" t="s">
        <v>11</v>
      </c>
      <c r="D158">
        <v>54</v>
      </c>
      <c r="E158" t="s">
        <v>30</v>
      </c>
      <c r="F158" t="s">
        <v>27</v>
      </c>
      <c r="G158">
        <v>135953</v>
      </c>
      <c r="H158" t="s">
        <v>20</v>
      </c>
      <c r="I158" s="1">
        <v>43172</v>
      </c>
    </row>
    <row r="159" spans="1:9" x14ac:dyDescent="0.3">
      <c r="A159" t="s">
        <v>339</v>
      </c>
      <c r="B159" t="s">
        <v>340</v>
      </c>
      <c r="C159" t="s">
        <v>17</v>
      </c>
      <c r="D159">
        <v>40</v>
      </c>
      <c r="E159" t="s">
        <v>12</v>
      </c>
      <c r="F159" t="s">
        <v>37</v>
      </c>
      <c r="G159">
        <v>158563</v>
      </c>
      <c r="H159" t="s">
        <v>14</v>
      </c>
      <c r="I159" s="1">
        <v>45774</v>
      </c>
    </row>
    <row r="160" spans="1:9" x14ac:dyDescent="0.3">
      <c r="A160" t="s">
        <v>341</v>
      </c>
      <c r="B160" t="s">
        <v>342</v>
      </c>
      <c r="C160" t="s">
        <v>11</v>
      </c>
      <c r="D160">
        <v>27</v>
      </c>
      <c r="E160" t="s">
        <v>30</v>
      </c>
      <c r="F160" t="s">
        <v>37</v>
      </c>
      <c r="G160">
        <v>143797</v>
      </c>
      <c r="H160" t="s">
        <v>14</v>
      </c>
      <c r="I160" s="1">
        <v>43200</v>
      </c>
    </row>
    <row r="161" spans="1:9" x14ac:dyDescent="0.3">
      <c r="A161" t="s">
        <v>343</v>
      </c>
      <c r="B161" t="s">
        <v>344</v>
      </c>
      <c r="C161" t="s">
        <v>17</v>
      </c>
      <c r="D161">
        <v>71</v>
      </c>
      <c r="E161" t="s">
        <v>12</v>
      </c>
      <c r="F161" t="s">
        <v>42</v>
      </c>
      <c r="G161">
        <v>83888</v>
      </c>
      <c r="H161" t="s">
        <v>14</v>
      </c>
      <c r="I161" s="1">
        <v>42314</v>
      </c>
    </row>
    <row r="162" spans="1:9" x14ac:dyDescent="0.3">
      <c r="A162" t="s">
        <v>345</v>
      </c>
      <c r="B162" t="s">
        <v>346</v>
      </c>
      <c r="C162" t="s">
        <v>11</v>
      </c>
      <c r="D162">
        <v>22</v>
      </c>
      <c r="E162" t="s">
        <v>18</v>
      </c>
      <c r="F162" t="s">
        <v>13</v>
      </c>
      <c r="G162">
        <v>93609</v>
      </c>
      <c r="H162" t="s">
        <v>14</v>
      </c>
      <c r="I162" s="1">
        <v>44252</v>
      </c>
    </row>
    <row r="163" spans="1:9" x14ac:dyDescent="0.3">
      <c r="A163" t="s">
        <v>347</v>
      </c>
      <c r="B163" t="s">
        <v>348</v>
      </c>
      <c r="C163" t="s">
        <v>11</v>
      </c>
      <c r="D163">
        <v>53</v>
      </c>
      <c r="E163" t="s">
        <v>12</v>
      </c>
      <c r="F163" t="s">
        <v>42</v>
      </c>
      <c r="G163">
        <v>29077</v>
      </c>
      <c r="H163" t="s">
        <v>20</v>
      </c>
      <c r="I163" s="1">
        <v>42248</v>
      </c>
    </row>
    <row r="164" spans="1:9" x14ac:dyDescent="0.3">
      <c r="A164" t="s">
        <v>349</v>
      </c>
      <c r="B164" t="s">
        <v>350</v>
      </c>
      <c r="C164" t="s">
        <v>17</v>
      </c>
      <c r="D164">
        <v>51</v>
      </c>
      <c r="E164" t="s">
        <v>30</v>
      </c>
      <c r="F164" t="s">
        <v>13</v>
      </c>
      <c r="G164">
        <v>40953</v>
      </c>
      <c r="H164" t="s">
        <v>14</v>
      </c>
      <c r="I164" s="1">
        <v>44789</v>
      </c>
    </row>
    <row r="165" spans="1:9" x14ac:dyDescent="0.3">
      <c r="A165" t="s">
        <v>351</v>
      </c>
      <c r="B165" t="s">
        <v>352</v>
      </c>
      <c r="C165" t="s">
        <v>17</v>
      </c>
      <c r="D165">
        <v>69</v>
      </c>
      <c r="E165" t="s">
        <v>18</v>
      </c>
      <c r="F165" t="s">
        <v>42</v>
      </c>
      <c r="G165">
        <v>134682</v>
      </c>
      <c r="H165" t="s">
        <v>14</v>
      </c>
      <c r="I165" s="1">
        <v>44257</v>
      </c>
    </row>
    <row r="166" spans="1:9" x14ac:dyDescent="0.3">
      <c r="A166" t="s">
        <v>353</v>
      </c>
      <c r="B166" t="s">
        <v>354</v>
      </c>
      <c r="C166" t="s">
        <v>17</v>
      </c>
      <c r="D166">
        <v>48</v>
      </c>
      <c r="E166" t="s">
        <v>18</v>
      </c>
      <c r="F166" t="s">
        <v>27</v>
      </c>
      <c r="G166">
        <v>87889</v>
      </c>
      <c r="H166" t="s">
        <v>14</v>
      </c>
      <c r="I166" s="1">
        <v>45172</v>
      </c>
    </row>
    <row r="167" spans="1:9" x14ac:dyDescent="0.3">
      <c r="A167" t="s">
        <v>355</v>
      </c>
      <c r="B167" t="s">
        <v>356</v>
      </c>
      <c r="C167" t="s">
        <v>11</v>
      </c>
      <c r="D167">
        <v>27</v>
      </c>
      <c r="E167" t="s">
        <v>18</v>
      </c>
      <c r="F167" t="s">
        <v>31</v>
      </c>
      <c r="G167">
        <v>174893</v>
      </c>
      <c r="H167" t="s">
        <v>14</v>
      </c>
      <c r="I167" s="1">
        <v>42431</v>
      </c>
    </row>
    <row r="168" spans="1:9" x14ac:dyDescent="0.3">
      <c r="A168" t="s">
        <v>357</v>
      </c>
      <c r="B168" t="s">
        <v>358</v>
      </c>
      <c r="C168" t="s">
        <v>17</v>
      </c>
      <c r="D168">
        <v>36</v>
      </c>
      <c r="E168" t="s">
        <v>30</v>
      </c>
      <c r="F168" t="s">
        <v>37</v>
      </c>
      <c r="G168">
        <v>188639</v>
      </c>
      <c r="H168" t="s">
        <v>14</v>
      </c>
      <c r="I168" s="1">
        <v>45492</v>
      </c>
    </row>
    <row r="169" spans="1:9" x14ac:dyDescent="0.3">
      <c r="A169" t="s">
        <v>359</v>
      </c>
      <c r="B169" t="s">
        <v>360</v>
      </c>
      <c r="C169" t="s">
        <v>11</v>
      </c>
      <c r="D169">
        <v>49</v>
      </c>
      <c r="E169" t="s">
        <v>34</v>
      </c>
      <c r="F169" t="s">
        <v>42</v>
      </c>
      <c r="G169">
        <v>135374</v>
      </c>
      <c r="H169" t="s">
        <v>14</v>
      </c>
      <c r="I169" s="1">
        <v>43786</v>
      </c>
    </row>
    <row r="170" spans="1:9" x14ac:dyDescent="0.3">
      <c r="A170" t="s">
        <v>361</v>
      </c>
      <c r="B170" t="s">
        <v>362</v>
      </c>
      <c r="C170" t="s">
        <v>11</v>
      </c>
      <c r="D170">
        <v>18</v>
      </c>
      <c r="E170" t="s">
        <v>34</v>
      </c>
      <c r="F170" t="s">
        <v>27</v>
      </c>
      <c r="G170">
        <v>44860</v>
      </c>
      <c r="H170" t="s">
        <v>14</v>
      </c>
      <c r="I170" s="1">
        <v>45714</v>
      </c>
    </row>
    <row r="171" spans="1:9" x14ac:dyDescent="0.3">
      <c r="A171" t="s">
        <v>363</v>
      </c>
      <c r="B171" t="s">
        <v>364</v>
      </c>
      <c r="C171" t="s">
        <v>17</v>
      </c>
      <c r="D171">
        <v>73</v>
      </c>
      <c r="E171" t="s">
        <v>34</v>
      </c>
      <c r="F171" t="s">
        <v>13</v>
      </c>
      <c r="G171">
        <v>172267</v>
      </c>
      <c r="H171" t="s">
        <v>20</v>
      </c>
      <c r="I171" s="1">
        <v>44887</v>
      </c>
    </row>
    <row r="172" spans="1:9" x14ac:dyDescent="0.3">
      <c r="A172" t="s">
        <v>365</v>
      </c>
      <c r="B172" t="s">
        <v>366</v>
      </c>
      <c r="C172" t="s">
        <v>17</v>
      </c>
      <c r="D172">
        <v>22</v>
      </c>
      <c r="E172" t="s">
        <v>30</v>
      </c>
      <c r="F172" t="s">
        <v>13</v>
      </c>
      <c r="G172">
        <v>97475</v>
      </c>
      <c r="H172" t="s">
        <v>14</v>
      </c>
      <c r="I172" s="1">
        <v>42532</v>
      </c>
    </row>
    <row r="173" spans="1:9" x14ac:dyDescent="0.3">
      <c r="A173" t="s">
        <v>367</v>
      </c>
      <c r="B173" t="s">
        <v>368</v>
      </c>
      <c r="C173" t="s">
        <v>11</v>
      </c>
      <c r="D173">
        <v>62</v>
      </c>
      <c r="E173" t="s">
        <v>18</v>
      </c>
      <c r="F173" t="s">
        <v>37</v>
      </c>
      <c r="G173">
        <v>107266</v>
      </c>
      <c r="H173" t="s">
        <v>14</v>
      </c>
      <c r="I173" s="1">
        <v>43988</v>
      </c>
    </row>
    <row r="174" spans="1:9" x14ac:dyDescent="0.3">
      <c r="A174" t="s">
        <v>369</v>
      </c>
      <c r="B174" t="s">
        <v>370</v>
      </c>
      <c r="C174" t="s">
        <v>11</v>
      </c>
      <c r="D174">
        <v>21</v>
      </c>
      <c r="E174" t="s">
        <v>34</v>
      </c>
      <c r="F174" t="s">
        <v>19</v>
      </c>
      <c r="G174">
        <v>172499</v>
      </c>
      <c r="H174" t="s">
        <v>20</v>
      </c>
      <c r="I174" s="1">
        <v>44501</v>
      </c>
    </row>
    <row r="175" spans="1:9" x14ac:dyDescent="0.3">
      <c r="A175" t="s">
        <v>371</v>
      </c>
      <c r="B175" t="s">
        <v>372</v>
      </c>
      <c r="C175" t="s">
        <v>17</v>
      </c>
      <c r="D175">
        <v>33</v>
      </c>
      <c r="E175" t="s">
        <v>30</v>
      </c>
      <c r="F175" t="s">
        <v>42</v>
      </c>
      <c r="G175">
        <v>120732</v>
      </c>
      <c r="H175" t="s">
        <v>20</v>
      </c>
      <c r="I175" s="1">
        <v>43767</v>
      </c>
    </row>
    <row r="176" spans="1:9" x14ac:dyDescent="0.3">
      <c r="A176" t="s">
        <v>373</v>
      </c>
      <c r="B176" t="s">
        <v>374</v>
      </c>
      <c r="C176" t="s">
        <v>17</v>
      </c>
      <c r="D176">
        <v>41</v>
      </c>
      <c r="E176" t="s">
        <v>34</v>
      </c>
      <c r="F176" t="s">
        <v>23</v>
      </c>
      <c r="G176">
        <v>47083</v>
      </c>
      <c r="H176" t="s">
        <v>14</v>
      </c>
      <c r="I176" s="1">
        <v>43046</v>
      </c>
    </row>
    <row r="177" spans="1:9" x14ac:dyDescent="0.3">
      <c r="A177" t="s">
        <v>375</v>
      </c>
      <c r="B177" t="s">
        <v>376</v>
      </c>
      <c r="C177" t="s">
        <v>17</v>
      </c>
      <c r="D177">
        <v>33</v>
      </c>
      <c r="E177" t="s">
        <v>12</v>
      </c>
      <c r="F177" t="s">
        <v>13</v>
      </c>
      <c r="G177">
        <v>77372</v>
      </c>
      <c r="H177" t="s">
        <v>14</v>
      </c>
      <c r="I177" s="1">
        <v>42292</v>
      </c>
    </row>
    <row r="178" spans="1:9" x14ac:dyDescent="0.3">
      <c r="A178" t="s">
        <v>377</v>
      </c>
      <c r="B178" t="s">
        <v>378</v>
      </c>
      <c r="C178" t="s">
        <v>11</v>
      </c>
      <c r="D178">
        <v>72</v>
      </c>
      <c r="E178" t="s">
        <v>34</v>
      </c>
      <c r="F178" t="s">
        <v>31</v>
      </c>
      <c r="G178">
        <v>143786</v>
      </c>
      <c r="H178" t="s">
        <v>14</v>
      </c>
      <c r="I178" s="1">
        <v>45538</v>
      </c>
    </row>
    <row r="179" spans="1:9" x14ac:dyDescent="0.3">
      <c r="A179" t="s">
        <v>379</v>
      </c>
      <c r="B179" t="s">
        <v>380</v>
      </c>
      <c r="C179" t="s">
        <v>11</v>
      </c>
      <c r="D179">
        <v>19</v>
      </c>
      <c r="E179" t="s">
        <v>34</v>
      </c>
      <c r="F179" t="s">
        <v>31</v>
      </c>
      <c r="G179">
        <v>195136</v>
      </c>
      <c r="H179" t="s">
        <v>20</v>
      </c>
      <c r="I179" s="1">
        <v>45642</v>
      </c>
    </row>
    <row r="180" spans="1:9" x14ac:dyDescent="0.3">
      <c r="A180" t="s">
        <v>381</v>
      </c>
      <c r="B180" t="s">
        <v>382</v>
      </c>
      <c r="C180" t="s">
        <v>11</v>
      </c>
      <c r="D180">
        <v>66</v>
      </c>
      <c r="E180" t="s">
        <v>18</v>
      </c>
      <c r="F180" t="s">
        <v>13</v>
      </c>
      <c r="G180">
        <v>27813</v>
      </c>
      <c r="H180" t="s">
        <v>24</v>
      </c>
      <c r="I180" s="1">
        <v>42803</v>
      </c>
    </row>
    <row r="181" spans="1:9" x14ac:dyDescent="0.3">
      <c r="A181" t="s">
        <v>383</v>
      </c>
      <c r="B181" t="s">
        <v>384</v>
      </c>
      <c r="C181" t="s">
        <v>11</v>
      </c>
      <c r="D181">
        <v>45</v>
      </c>
      <c r="E181" t="s">
        <v>30</v>
      </c>
      <c r="F181" t="s">
        <v>19</v>
      </c>
      <c r="G181">
        <v>51598</v>
      </c>
      <c r="H181" t="s">
        <v>20</v>
      </c>
      <c r="I181" s="1">
        <v>45704</v>
      </c>
    </row>
    <row r="182" spans="1:9" x14ac:dyDescent="0.3">
      <c r="A182" t="s">
        <v>385</v>
      </c>
      <c r="B182" t="s">
        <v>386</v>
      </c>
      <c r="C182" t="s">
        <v>11</v>
      </c>
      <c r="D182">
        <v>49</v>
      </c>
      <c r="E182" t="s">
        <v>18</v>
      </c>
      <c r="F182" t="s">
        <v>19</v>
      </c>
      <c r="G182">
        <v>113106</v>
      </c>
      <c r="H182" t="s">
        <v>14</v>
      </c>
      <c r="I182" s="1">
        <v>42387</v>
      </c>
    </row>
    <row r="183" spans="1:9" x14ac:dyDescent="0.3">
      <c r="A183" t="s">
        <v>387</v>
      </c>
      <c r="B183" t="s">
        <v>388</v>
      </c>
      <c r="C183" t="s">
        <v>11</v>
      </c>
      <c r="D183">
        <v>44</v>
      </c>
      <c r="E183" t="s">
        <v>18</v>
      </c>
      <c r="F183" t="s">
        <v>27</v>
      </c>
      <c r="G183">
        <v>47082</v>
      </c>
      <c r="H183" t="s">
        <v>20</v>
      </c>
      <c r="I183" s="1">
        <v>45843</v>
      </c>
    </row>
    <row r="184" spans="1:9" x14ac:dyDescent="0.3">
      <c r="A184" t="s">
        <v>389</v>
      </c>
      <c r="B184" t="s">
        <v>390</v>
      </c>
      <c r="C184" t="s">
        <v>17</v>
      </c>
      <c r="D184">
        <v>37</v>
      </c>
      <c r="E184" t="s">
        <v>18</v>
      </c>
      <c r="F184" t="s">
        <v>31</v>
      </c>
      <c r="G184">
        <v>49241</v>
      </c>
      <c r="H184" t="s">
        <v>14</v>
      </c>
      <c r="I184" s="1">
        <v>43202</v>
      </c>
    </row>
    <row r="185" spans="1:9" x14ac:dyDescent="0.3">
      <c r="A185" t="s">
        <v>391</v>
      </c>
      <c r="B185" t="s">
        <v>392</v>
      </c>
      <c r="C185" t="s">
        <v>11</v>
      </c>
      <c r="D185">
        <v>41</v>
      </c>
      <c r="E185" t="s">
        <v>18</v>
      </c>
      <c r="F185" t="s">
        <v>27</v>
      </c>
      <c r="G185">
        <v>195641</v>
      </c>
      <c r="H185" t="s">
        <v>14</v>
      </c>
      <c r="I185" s="1">
        <v>44775</v>
      </c>
    </row>
    <row r="186" spans="1:9" x14ac:dyDescent="0.3">
      <c r="A186" t="s">
        <v>393</v>
      </c>
      <c r="B186" t="s">
        <v>394</v>
      </c>
      <c r="C186" t="s">
        <v>11</v>
      </c>
      <c r="D186">
        <v>29</v>
      </c>
      <c r="E186" t="s">
        <v>18</v>
      </c>
      <c r="F186" t="s">
        <v>31</v>
      </c>
      <c r="G186">
        <v>31745</v>
      </c>
      <c r="H186" t="s">
        <v>14</v>
      </c>
      <c r="I186" s="1">
        <v>45422</v>
      </c>
    </row>
    <row r="187" spans="1:9" x14ac:dyDescent="0.3">
      <c r="A187" t="s">
        <v>395</v>
      </c>
      <c r="B187" t="s">
        <v>396</v>
      </c>
      <c r="C187" t="s">
        <v>11</v>
      </c>
      <c r="D187">
        <v>67</v>
      </c>
      <c r="E187" t="s">
        <v>34</v>
      </c>
      <c r="F187" t="s">
        <v>42</v>
      </c>
      <c r="G187">
        <v>46029</v>
      </c>
      <c r="H187" t="s">
        <v>24</v>
      </c>
      <c r="I187" s="1">
        <v>42881</v>
      </c>
    </row>
    <row r="188" spans="1:9" x14ac:dyDescent="0.3">
      <c r="A188" t="s">
        <v>397</v>
      </c>
      <c r="B188" t="s">
        <v>398</v>
      </c>
      <c r="C188" t="s">
        <v>17</v>
      </c>
      <c r="D188">
        <v>52</v>
      </c>
      <c r="E188" t="s">
        <v>18</v>
      </c>
      <c r="F188" t="s">
        <v>42</v>
      </c>
      <c r="G188">
        <v>164097</v>
      </c>
      <c r="H188" t="s">
        <v>14</v>
      </c>
      <c r="I188" s="1">
        <v>45101</v>
      </c>
    </row>
    <row r="189" spans="1:9" x14ac:dyDescent="0.3">
      <c r="A189" t="s">
        <v>399</v>
      </c>
      <c r="B189" t="s">
        <v>400</v>
      </c>
      <c r="C189" t="s">
        <v>11</v>
      </c>
      <c r="D189">
        <v>50</v>
      </c>
      <c r="E189" t="s">
        <v>18</v>
      </c>
      <c r="F189" t="s">
        <v>23</v>
      </c>
      <c r="G189">
        <v>143395</v>
      </c>
      <c r="H189" t="s">
        <v>20</v>
      </c>
      <c r="I189" s="1">
        <v>45211</v>
      </c>
    </row>
    <row r="190" spans="1:9" x14ac:dyDescent="0.3">
      <c r="A190" t="s">
        <v>401</v>
      </c>
      <c r="B190" t="s">
        <v>402</v>
      </c>
      <c r="C190" t="s">
        <v>11</v>
      </c>
      <c r="D190">
        <v>50</v>
      </c>
      <c r="E190" t="s">
        <v>30</v>
      </c>
      <c r="F190" t="s">
        <v>42</v>
      </c>
      <c r="G190">
        <v>165360</v>
      </c>
      <c r="H190" t="s">
        <v>14</v>
      </c>
      <c r="I190" s="1">
        <v>45535</v>
      </c>
    </row>
    <row r="191" spans="1:9" x14ac:dyDescent="0.3">
      <c r="A191" t="s">
        <v>403</v>
      </c>
      <c r="B191" t="s">
        <v>404</v>
      </c>
      <c r="C191" t="s">
        <v>17</v>
      </c>
      <c r="D191">
        <v>68</v>
      </c>
      <c r="E191" t="s">
        <v>12</v>
      </c>
      <c r="F191" t="s">
        <v>23</v>
      </c>
      <c r="G191">
        <v>109186</v>
      </c>
      <c r="H191" t="s">
        <v>14</v>
      </c>
      <c r="I191" s="1">
        <v>43008</v>
      </c>
    </row>
    <row r="192" spans="1:9" x14ac:dyDescent="0.3">
      <c r="A192" t="s">
        <v>405</v>
      </c>
      <c r="B192" t="s">
        <v>406</v>
      </c>
      <c r="C192" t="s">
        <v>11</v>
      </c>
      <c r="D192">
        <v>60</v>
      </c>
      <c r="E192" t="s">
        <v>34</v>
      </c>
      <c r="F192" t="s">
        <v>42</v>
      </c>
      <c r="G192">
        <v>157612</v>
      </c>
      <c r="H192" t="s">
        <v>14</v>
      </c>
      <c r="I192" s="1">
        <v>43780</v>
      </c>
    </row>
    <row r="193" spans="1:9" x14ac:dyDescent="0.3">
      <c r="A193" t="s">
        <v>407</v>
      </c>
      <c r="B193" t="s">
        <v>408</v>
      </c>
      <c r="C193" t="s">
        <v>11</v>
      </c>
      <c r="D193">
        <v>54</v>
      </c>
      <c r="E193" t="s">
        <v>34</v>
      </c>
      <c r="F193" t="s">
        <v>37</v>
      </c>
      <c r="G193">
        <v>117768</v>
      </c>
      <c r="H193" t="s">
        <v>14</v>
      </c>
      <c r="I193" s="1">
        <v>45891</v>
      </c>
    </row>
    <row r="194" spans="1:9" x14ac:dyDescent="0.3">
      <c r="A194" t="s">
        <v>409</v>
      </c>
      <c r="B194" t="s">
        <v>410</v>
      </c>
      <c r="C194" t="s">
        <v>11</v>
      </c>
      <c r="D194">
        <v>29</v>
      </c>
      <c r="E194" t="s">
        <v>34</v>
      </c>
      <c r="F194" t="s">
        <v>42</v>
      </c>
      <c r="G194">
        <v>61846</v>
      </c>
      <c r="H194" t="s">
        <v>20</v>
      </c>
      <c r="I194" s="1">
        <v>44169</v>
      </c>
    </row>
    <row r="195" spans="1:9" x14ac:dyDescent="0.3">
      <c r="A195" t="s">
        <v>411</v>
      </c>
      <c r="B195" t="s">
        <v>412</v>
      </c>
      <c r="C195" t="s">
        <v>11</v>
      </c>
      <c r="D195">
        <v>20</v>
      </c>
      <c r="E195" t="s">
        <v>18</v>
      </c>
      <c r="F195" t="s">
        <v>27</v>
      </c>
      <c r="G195">
        <v>95932</v>
      </c>
      <c r="H195" t="s">
        <v>14</v>
      </c>
      <c r="I195" s="1">
        <v>45446</v>
      </c>
    </row>
    <row r="196" spans="1:9" x14ac:dyDescent="0.3">
      <c r="A196" t="s">
        <v>413</v>
      </c>
      <c r="B196" t="s">
        <v>414</v>
      </c>
      <c r="C196" t="s">
        <v>11</v>
      </c>
      <c r="D196">
        <v>18</v>
      </c>
      <c r="E196" t="s">
        <v>18</v>
      </c>
      <c r="F196" t="s">
        <v>13</v>
      </c>
      <c r="G196">
        <v>168554</v>
      </c>
      <c r="H196" t="s">
        <v>20</v>
      </c>
      <c r="I196" s="1">
        <v>42269</v>
      </c>
    </row>
    <row r="197" spans="1:9" x14ac:dyDescent="0.3">
      <c r="A197" t="s">
        <v>415</v>
      </c>
      <c r="B197" t="s">
        <v>416</v>
      </c>
      <c r="C197" t="s">
        <v>17</v>
      </c>
      <c r="D197">
        <v>50</v>
      </c>
      <c r="E197" t="s">
        <v>18</v>
      </c>
      <c r="F197" t="s">
        <v>27</v>
      </c>
      <c r="G197">
        <v>43411</v>
      </c>
      <c r="H197" t="s">
        <v>20</v>
      </c>
      <c r="I197" s="1">
        <v>43612</v>
      </c>
    </row>
    <row r="198" spans="1:9" x14ac:dyDescent="0.3">
      <c r="A198" t="s">
        <v>417</v>
      </c>
      <c r="B198" t="s">
        <v>418</v>
      </c>
      <c r="C198" t="s">
        <v>17</v>
      </c>
      <c r="D198">
        <v>57</v>
      </c>
      <c r="E198" t="s">
        <v>30</v>
      </c>
      <c r="F198" t="s">
        <v>13</v>
      </c>
      <c r="G198">
        <v>98797</v>
      </c>
      <c r="H198" t="s">
        <v>24</v>
      </c>
      <c r="I198" s="1">
        <v>42402</v>
      </c>
    </row>
    <row r="199" spans="1:9" x14ac:dyDescent="0.3">
      <c r="A199" t="s">
        <v>419</v>
      </c>
      <c r="B199" t="s">
        <v>420</v>
      </c>
      <c r="C199" t="s">
        <v>17</v>
      </c>
      <c r="D199">
        <v>27</v>
      </c>
      <c r="E199" t="s">
        <v>12</v>
      </c>
      <c r="F199" t="s">
        <v>19</v>
      </c>
      <c r="G199">
        <v>72307</v>
      </c>
      <c r="H199" t="s">
        <v>14</v>
      </c>
      <c r="I199" s="1">
        <v>43945</v>
      </c>
    </row>
    <row r="200" spans="1:9" x14ac:dyDescent="0.3">
      <c r="A200" t="s">
        <v>421</v>
      </c>
      <c r="B200" t="s">
        <v>422</v>
      </c>
      <c r="C200" t="s">
        <v>11</v>
      </c>
      <c r="D200">
        <v>60</v>
      </c>
      <c r="E200" t="s">
        <v>18</v>
      </c>
      <c r="F200" t="s">
        <v>27</v>
      </c>
      <c r="G200">
        <v>154165</v>
      </c>
      <c r="H200" t="s">
        <v>14</v>
      </c>
      <c r="I200" s="1">
        <v>43118</v>
      </c>
    </row>
    <row r="201" spans="1:9" x14ac:dyDescent="0.3">
      <c r="A201" t="s">
        <v>423</v>
      </c>
      <c r="B201" t="s">
        <v>424</v>
      </c>
      <c r="C201" t="s">
        <v>11</v>
      </c>
      <c r="D201">
        <v>61</v>
      </c>
      <c r="E201" t="s">
        <v>12</v>
      </c>
      <c r="F201" t="s">
        <v>19</v>
      </c>
      <c r="G201">
        <v>42042</v>
      </c>
      <c r="H201" t="s">
        <v>14</v>
      </c>
      <c r="I201" s="1">
        <v>45365</v>
      </c>
    </row>
    <row r="202" spans="1:9" x14ac:dyDescent="0.3">
      <c r="A202" t="s">
        <v>425</v>
      </c>
      <c r="B202" t="s">
        <v>426</v>
      </c>
      <c r="C202" t="s">
        <v>11</v>
      </c>
      <c r="D202">
        <v>46</v>
      </c>
      <c r="E202" t="s">
        <v>30</v>
      </c>
      <c r="F202" t="s">
        <v>23</v>
      </c>
      <c r="G202">
        <v>72930</v>
      </c>
      <c r="H202" t="s">
        <v>24</v>
      </c>
      <c r="I202" s="1">
        <v>42971</v>
      </c>
    </row>
    <row r="203" spans="1:9" x14ac:dyDescent="0.3">
      <c r="A203" t="s">
        <v>427</v>
      </c>
      <c r="B203" t="s">
        <v>428</v>
      </c>
      <c r="C203" t="s">
        <v>17</v>
      </c>
      <c r="D203">
        <v>30</v>
      </c>
      <c r="E203" t="s">
        <v>34</v>
      </c>
      <c r="F203" t="s">
        <v>23</v>
      </c>
      <c r="G203">
        <v>195485</v>
      </c>
      <c r="H203" t="s">
        <v>24</v>
      </c>
      <c r="I203" s="1">
        <v>43537</v>
      </c>
    </row>
    <row r="204" spans="1:9" x14ac:dyDescent="0.3">
      <c r="A204" t="s">
        <v>429</v>
      </c>
      <c r="B204" t="s">
        <v>430</v>
      </c>
      <c r="C204" t="s">
        <v>11</v>
      </c>
      <c r="D204">
        <v>29</v>
      </c>
      <c r="E204" t="s">
        <v>18</v>
      </c>
      <c r="F204" t="s">
        <v>37</v>
      </c>
      <c r="G204">
        <v>117883</v>
      </c>
      <c r="H204" t="s">
        <v>14</v>
      </c>
      <c r="I204" s="1">
        <v>45525</v>
      </c>
    </row>
    <row r="205" spans="1:9" x14ac:dyDescent="0.3">
      <c r="A205" t="s">
        <v>431</v>
      </c>
      <c r="B205" t="s">
        <v>432</v>
      </c>
      <c r="C205" t="s">
        <v>11</v>
      </c>
      <c r="D205">
        <v>48</v>
      </c>
      <c r="E205" t="s">
        <v>12</v>
      </c>
      <c r="F205" t="s">
        <v>42</v>
      </c>
      <c r="G205">
        <v>53756</v>
      </c>
      <c r="H205" t="s">
        <v>20</v>
      </c>
      <c r="I205" s="1">
        <v>42533</v>
      </c>
    </row>
    <row r="206" spans="1:9" x14ac:dyDescent="0.3">
      <c r="A206" t="s">
        <v>433</v>
      </c>
      <c r="B206" t="s">
        <v>434</v>
      </c>
      <c r="C206" t="s">
        <v>17</v>
      </c>
      <c r="D206">
        <v>63</v>
      </c>
      <c r="E206" t="s">
        <v>12</v>
      </c>
      <c r="F206" t="s">
        <v>27</v>
      </c>
      <c r="G206">
        <v>73268</v>
      </c>
      <c r="H206" t="s">
        <v>14</v>
      </c>
      <c r="I206" s="1">
        <v>45587</v>
      </c>
    </row>
    <row r="207" spans="1:9" x14ac:dyDescent="0.3">
      <c r="A207" t="s">
        <v>435</v>
      </c>
      <c r="B207" t="s">
        <v>436</v>
      </c>
      <c r="C207" t="s">
        <v>11</v>
      </c>
      <c r="D207">
        <v>19</v>
      </c>
      <c r="E207" t="s">
        <v>18</v>
      </c>
      <c r="F207" t="s">
        <v>19</v>
      </c>
      <c r="G207">
        <v>190286</v>
      </c>
      <c r="H207" t="s">
        <v>20</v>
      </c>
      <c r="I207" s="1">
        <v>43918</v>
      </c>
    </row>
    <row r="208" spans="1:9" x14ac:dyDescent="0.3">
      <c r="A208" t="s">
        <v>437</v>
      </c>
      <c r="B208" t="s">
        <v>438</v>
      </c>
      <c r="C208" t="s">
        <v>17</v>
      </c>
      <c r="D208">
        <v>68</v>
      </c>
      <c r="E208" t="s">
        <v>34</v>
      </c>
      <c r="F208" t="s">
        <v>13</v>
      </c>
      <c r="G208">
        <v>179674</v>
      </c>
      <c r="H208" t="s">
        <v>14</v>
      </c>
      <c r="I208" s="1">
        <v>43431</v>
      </c>
    </row>
    <row r="209" spans="1:9" x14ac:dyDescent="0.3">
      <c r="A209" t="s">
        <v>439</v>
      </c>
      <c r="B209" t="s">
        <v>440</v>
      </c>
      <c r="C209" t="s">
        <v>17</v>
      </c>
      <c r="D209">
        <v>67</v>
      </c>
      <c r="E209" t="s">
        <v>34</v>
      </c>
      <c r="F209" t="s">
        <v>23</v>
      </c>
      <c r="G209">
        <v>68901</v>
      </c>
      <c r="H209" t="s">
        <v>20</v>
      </c>
      <c r="I209" s="1">
        <v>44644</v>
      </c>
    </row>
    <row r="210" spans="1:9" x14ac:dyDescent="0.3">
      <c r="A210" t="s">
        <v>441</v>
      </c>
      <c r="B210" t="s">
        <v>442</v>
      </c>
      <c r="C210" t="s">
        <v>17</v>
      </c>
      <c r="D210">
        <v>52</v>
      </c>
      <c r="E210" t="s">
        <v>34</v>
      </c>
      <c r="F210" t="s">
        <v>42</v>
      </c>
      <c r="G210">
        <v>119986</v>
      </c>
      <c r="H210" t="s">
        <v>14</v>
      </c>
      <c r="I210" s="1">
        <v>43935</v>
      </c>
    </row>
    <row r="211" spans="1:9" x14ac:dyDescent="0.3">
      <c r="A211" t="s">
        <v>443</v>
      </c>
      <c r="B211" t="s">
        <v>444</v>
      </c>
      <c r="C211" t="s">
        <v>11</v>
      </c>
      <c r="D211">
        <v>40</v>
      </c>
      <c r="E211" t="s">
        <v>30</v>
      </c>
      <c r="F211" t="s">
        <v>23</v>
      </c>
      <c r="G211">
        <v>183268</v>
      </c>
      <c r="H211" t="s">
        <v>20</v>
      </c>
      <c r="I211" s="1">
        <v>43742</v>
      </c>
    </row>
    <row r="212" spans="1:9" x14ac:dyDescent="0.3">
      <c r="A212" t="s">
        <v>445</v>
      </c>
      <c r="B212" t="s">
        <v>446</v>
      </c>
      <c r="C212" t="s">
        <v>11</v>
      </c>
      <c r="D212">
        <v>34</v>
      </c>
      <c r="E212" t="s">
        <v>12</v>
      </c>
      <c r="F212" t="s">
        <v>13</v>
      </c>
      <c r="G212">
        <v>148386</v>
      </c>
      <c r="H212" t="s">
        <v>20</v>
      </c>
      <c r="I212" s="1">
        <v>43881</v>
      </c>
    </row>
    <row r="213" spans="1:9" x14ac:dyDescent="0.3">
      <c r="A213" t="s">
        <v>447</v>
      </c>
      <c r="B213" t="s">
        <v>448</v>
      </c>
      <c r="C213" t="s">
        <v>11</v>
      </c>
      <c r="D213">
        <v>43</v>
      </c>
      <c r="E213" t="s">
        <v>12</v>
      </c>
      <c r="F213" t="s">
        <v>42</v>
      </c>
      <c r="G213">
        <v>25626</v>
      </c>
      <c r="H213" t="s">
        <v>20</v>
      </c>
      <c r="I213" s="1">
        <v>43477</v>
      </c>
    </row>
    <row r="214" spans="1:9" x14ac:dyDescent="0.3">
      <c r="A214" t="s">
        <v>449</v>
      </c>
      <c r="B214" t="s">
        <v>450</v>
      </c>
      <c r="C214" t="s">
        <v>11</v>
      </c>
      <c r="D214">
        <v>25</v>
      </c>
      <c r="E214" t="s">
        <v>12</v>
      </c>
      <c r="F214" t="s">
        <v>42</v>
      </c>
      <c r="G214">
        <v>158496</v>
      </c>
      <c r="H214" t="s">
        <v>14</v>
      </c>
      <c r="I214" s="1">
        <v>42973</v>
      </c>
    </row>
    <row r="215" spans="1:9" x14ac:dyDescent="0.3">
      <c r="A215" t="s">
        <v>451</v>
      </c>
      <c r="B215" t="s">
        <v>452</v>
      </c>
      <c r="C215" t="s">
        <v>11</v>
      </c>
      <c r="D215">
        <v>46</v>
      </c>
      <c r="E215" t="s">
        <v>30</v>
      </c>
      <c r="F215" t="s">
        <v>19</v>
      </c>
      <c r="G215">
        <v>32857</v>
      </c>
      <c r="H215" t="s">
        <v>14</v>
      </c>
      <c r="I215" s="1">
        <v>44799</v>
      </c>
    </row>
    <row r="216" spans="1:9" x14ac:dyDescent="0.3">
      <c r="A216" t="s">
        <v>453</v>
      </c>
      <c r="B216" t="s">
        <v>454</v>
      </c>
      <c r="C216" t="s">
        <v>11</v>
      </c>
      <c r="D216">
        <v>43</v>
      </c>
      <c r="E216" t="s">
        <v>12</v>
      </c>
      <c r="F216" t="s">
        <v>19</v>
      </c>
      <c r="G216">
        <v>171054</v>
      </c>
      <c r="H216" t="s">
        <v>14</v>
      </c>
      <c r="I216" s="1">
        <v>43877</v>
      </c>
    </row>
    <row r="217" spans="1:9" x14ac:dyDescent="0.3">
      <c r="A217" t="s">
        <v>455</v>
      </c>
      <c r="B217" t="s">
        <v>456</v>
      </c>
      <c r="C217" t="s">
        <v>11</v>
      </c>
      <c r="D217">
        <v>27</v>
      </c>
      <c r="E217" t="s">
        <v>30</v>
      </c>
      <c r="F217" t="s">
        <v>27</v>
      </c>
      <c r="G217">
        <v>153052</v>
      </c>
      <c r="H217" t="s">
        <v>14</v>
      </c>
      <c r="I217" s="1">
        <v>42311</v>
      </c>
    </row>
    <row r="218" spans="1:9" x14ac:dyDescent="0.3">
      <c r="A218" t="s">
        <v>457</v>
      </c>
      <c r="B218" t="s">
        <v>458</v>
      </c>
      <c r="C218" t="s">
        <v>17</v>
      </c>
      <c r="D218">
        <v>43</v>
      </c>
      <c r="E218" t="s">
        <v>34</v>
      </c>
      <c r="F218" t="s">
        <v>27</v>
      </c>
      <c r="G218">
        <v>199362</v>
      </c>
      <c r="H218" t="s">
        <v>14</v>
      </c>
      <c r="I218" s="1">
        <v>45083</v>
      </c>
    </row>
    <row r="219" spans="1:9" x14ac:dyDescent="0.3">
      <c r="A219" t="s">
        <v>459</v>
      </c>
      <c r="B219" t="s">
        <v>460</v>
      </c>
      <c r="C219" t="s">
        <v>11</v>
      </c>
      <c r="D219">
        <v>51</v>
      </c>
      <c r="E219" t="s">
        <v>18</v>
      </c>
      <c r="F219" t="s">
        <v>31</v>
      </c>
      <c r="G219">
        <v>46431</v>
      </c>
      <c r="H219" t="s">
        <v>24</v>
      </c>
      <c r="I219" s="1">
        <v>42586</v>
      </c>
    </row>
    <row r="220" spans="1:9" x14ac:dyDescent="0.3">
      <c r="A220" t="s">
        <v>461</v>
      </c>
      <c r="B220" t="s">
        <v>462</v>
      </c>
      <c r="C220" t="s">
        <v>17</v>
      </c>
      <c r="D220">
        <v>68</v>
      </c>
      <c r="E220" t="s">
        <v>12</v>
      </c>
      <c r="F220" t="s">
        <v>31</v>
      </c>
      <c r="G220">
        <v>104976</v>
      </c>
      <c r="H220" t="s">
        <v>14</v>
      </c>
      <c r="I220" s="1">
        <v>43719</v>
      </c>
    </row>
    <row r="221" spans="1:9" x14ac:dyDescent="0.3">
      <c r="A221" t="s">
        <v>463</v>
      </c>
      <c r="B221" t="s">
        <v>464</v>
      </c>
      <c r="C221" t="s">
        <v>11</v>
      </c>
      <c r="D221">
        <v>58</v>
      </c>
      <c r="E221" t="s">
        <v>12</v>
      </c>
      <c r="F221" t="s">
        <v>37</v>
      </c>
      <c r="G221">
        <v>102711</v>
      </c>
      <c r="H221" t="s">
        <v>14</v>
      </c>
      <c r="I221" s="1">
        <v>45427</v>
      </c>
    </row>
    <row r="222" spans="1:9" x14ac:dyDescent="0.3">
      <c r="A222" t="s">
        <v>465</v>
      </c>
      <c r="B222" t="s">
        <v>466</v>
      </c>
      <c r="C222" t="s">
        <v>11</v>
      </c>
      <c r="D222">
        <v>24</v>
      </c>
      <c r="E222" t="s">
        <v>34</v>
      </c>
      <c r="F222" t="s">
        <v>23</v>
      </c>
      <c r="G222">
        <v>46385</v>
      </c>
      <c r="H222" t="s">
        <v>14</v>
      </c>
      <c r="I222" s="1">
        <v>43046</v>
      </c>
    </row>
    <row r="223" spans="1:9" x14ac:dyDescent="0.3">
      <c r="A223" t="s">
        <v>467</v>
      </c>
      <c r="B223" t="s">
        <v>468</v>
      </c>
      <c r="C223" t="s">
        <v>11</v>
      </c>
      <c r="D223">
        <v>21</v>
      </c>
      <c r="E223" t="s">
        <v>18</v>
      </c>
      <c r="F223" t="s">
        <v>27</v>
      </c>
      <c r="G223">
        <v>189230</v>
      </c>
      <c r="H223" t="s">
        <v>14</v>
      </c>
      <c r="I223" s="1">
        <v>45495</v>
      </c>
    </row>
    <row r="224" spans="1:9" x14ac:dyDescent="0.3">
      <c r="A224" t="s">
        <v>469</v>
      </c>
      <c r="B224" t="s">
        <v>470</v>
      </c>
      <c r="C224" t="s">
        <v>17</v>
      </c>
      <c r="D224">
        <v>70</v>
      </c>
      <c r="E224" t="s">
        <v>30</v>
      </c>
      <c r="F224" t="s">
        <v>19</v>
      </c>
      <c r="G224">
        <v>174091</v>
      </c>
      <c r="H224" t="s">
        <v>20</v>
      </c>
      <c r="I224" s="1">
        <v>42378</v>
      </c>
    </row>
    <row r="225" spans="1:9" x14ac:dyDescent="0.3">
      <c r="A225" t="s">
        <v>471</v>
      </c>
      <c r="B225" t="s">
        <v>472</v>
      </c>
      <c r="C225" t="s">
        <v>17</v>
      </c>
      <c r="D225">
        <v>67</v>
      </c>
      <c r="E225" t="s">
        <v>18</v>
      </c>
      <c r="F225" t="s">
        <v>13</v>
      </c>
      <c r="G225">
        <v>38639</v>
      </c>
      <c r="H225" t="s">
        <v>14</v>
      </c>
      <c r="I225" s="1">
        <v>42653</v>
      </c>
    </row>
    <row r="226" spans="1:9" x14ac:dyDescent="0.3">
      <c r="A226" t="s">
        <v>473</v>
      </c>
      <c r="B226" t="s">
        <v>474</v>
      </c>
      <c r="C226" t="s">
        <v>17</v>
      </c>
      <c r="D226">
        <v>62</v>
      </c>
      <c r="E226" t="s">
        <v>34</v>
      </c>
      <c r="F226" t="s">
        <v>19</v>
      </c>
      <c r="G226">
        <v>105530</v>
      </c>
      <c r="H226" t="s">
        <v>24</v>
      </c>
      <c r="I226" s="1">
        <v>43070</v>
      </c>
    </row>
    <row r="227" spans="1:9" x14ac:dyDescent="0.3">
      <c r="A227" t="s">
        <v>475</v>
      </c>
      <c r="B227" t="s">
        <v>476</v>
      </c>
      <c r="C227" t="s">
        <v>17</v>
      </c>
      <c r="D227">
        <v>28</v>
      </c>
      <c r="E227" t="s">
        <v>34</v>
      </c>
      <c r="F227" t="s">
        <v>23</v>
      </c>
      <c r="G227">
        <v>41563</v>
      </c>
      <c r="H227" t="s">
        <v>14</v>
      </c>
      <c r="I227" s="1">
        <v>45387</v>
      </c>
    </row>
    <row r="228" spans="1:9" x14ac:dyDescent="0.3">
      <c r="A228" t="s">
        <v>477</v>
      </c>
      <c r="B228" t="s">
        <v>478</v>
      </c>
      <c r="C228" t="s">
        <v>11</v>
      </c>
      <c r="D228">
        <v>46</v>
      </c>
      <c r="E228" t="s">
        <v>18</v>
      </c>
      <c r="F228" t="s">
        <v>31</v>
      </c>
      <c r="G228">
        <v>190413</v>
      </c>
      <c r="H228" t="s">
        <v>24</v>
      </c>
      <c r="I228" s="1">
        <v>42873</v>
      </c>
    </row>
    <row r="229" spans="1:9" x14ac:dyDescent="0.3">
      <c r="A229" t="s">
        <v>479</v>
      </c>
      <c r="B229" t="s">
        <v>480</v>
      </c>
      <c r="C229" t="s">
        <v>17</v>
      </c>
      <c r="D229">
        <v>73</v>
      </c>
      <c r="E229" t="s">
        <v>30</v>
      </c>
      <c r="F229" t="s">
        <v>19</v>
      </c>
      <c r="G229">
        <v>135672</v>
      </c>
      <c r="H229" t="s">
        <v>20</v>
      </c>
      <c r="I229" s="1">
        <v>43479</v>
      </c>
    </row>
    <row r="230" spans="1:9" x14ac:dyDescent="0.3">
      <c r="A230" t="s">
        <v>481</v>
      </c>
      <c r="B230" t="s">
        <v>482</v>
      </c>
      <c r="C230" t="s">
        <v>11</v>
      </c>
      <c r="D230">
        <v>53</v>
      </c>
      <c r="E230" t="s">
        <v>30</v>
      </c>
      <c r="F230" t="s">
        <v>37</v>
      </c>
      <c r="G230">
        <v>156848</v>
      </c>
      <c r="H230" t="s">
        <v>14</v>
      </c>
      <c r="I230" s="1">
        <v>44786</v>
      </c>
    </row>
    <row r="231" spans="1:9" x14ac:dyDescent="0.3">
      <c r="A231" t="s">
        <v>483</v>
      </c>
      <c r="B231" t="s">
        <v>484</v>
      </c>
      <c r="C231" t="s">
        <v>11</v>
      </c>
      <c r="D231">
        <v>42</v>
      </c>
      <c r="E231" t="s">
        <v>12</v>
      </c>
      <c r="F231" t="s">
        <v>23</v>
      </c>
      <c r="G231">
        <v>187516</v>
      </c>
      <c r="H231" t="s">
        <v>24</v>
      </c>
      <c r="I231" s="1">
        <v>43184</v>
      </c>
    </row>
    <row r="232" spans="1:9" x14ac:dyDescent="0.3">
      <c r="A232" t="s">
        <v>485</v>
      </c>
      <c r="B232" t="s">
        <v>486</v>
      </c>
      <c r="C232" t="s">
        <v>17</v>
      </c>
      <c r="D232">
        <v>38</v>
      </c>
      <c r="E232" t="s">
        <v>30</v>
      </c>
      <c r="F232" t="s">
        <v>31</v>
      </c>
      <c r="G232">
        <v>159783</v>
      </c>
      <c r="H232" t="s">
        <v>14</v>
      </c>
      <c r="I232" s="1">
        <v>44937</v>
      </c>
    </row>
    <row r="233" spans="1:9" x14ac:dyDescent="0.3">
      <c r="A233" t="s">
        <v>487</v>
      </c>
      <c r="B233" t="s">
        <v>488</v>
      </c>
      <c r="C233" t="s">
        <v>17</v>
      </c>
      <c r="D233">
        <v>74</v>
      </c>
      <c r="E233" t="s">
        <v>18</v>
      </c>
      <c r="F233" t="s">
        <v>13</v>
      </c>
      <c r="G233">
        <v>102970</v>
      </c>
      <c r="H233" t="s">
        <v>20</v>
      </c>
      <c r="I233" s="1">
        <v>43335</v>
      </c>
    </row>
    <row r="234" spans="1:9" x14ac:dyDescent="0.3">
      <c r="A234" t="s">
        <v>489</v>
      </c>
      <c r="B234" t="s">
        <v>490</v>
      </c>
      <c r="C234" t="s">
        <v>17</v>
      </c>
      <c r="D234">
        <v>53</v>
      </c>
      <c r="E234" t="s">
        <v>34</v>
      </c>
      <c r="F234" t="s">
        <v>31</v>
      </c>
      <c r="G234">
        <v>105553</v>
      </c>
      <c r="H234" t="s">
        <v>14</v>
      </c>
      <c r="I234" s="1">
        <v>42932</v>
      </c>
    </row>
    <row r="235" spans="1:9" x14ac:dyDescent="0.3">
      <c r="A235" t="s">
        <v>491</v>
      </c>
      <c r="B235" t="s">
        <v>492</v>
      </c>
      <c r="C235" t="s">
        <v>17</v>
      </c>
      <c r="D235">
        <v>27</v>
      </c>
      <c r="E235" t="s">
        <v>12</v>
      </c>
      <c r="F235" t="s">
        <v>42</v>
      </c>
      <c r="G235">
        <v>181779</v>
      </c>
      <c r="H235" t="s">
        <v>20</v>
      </c>
      <c r="I235" s="1">
        <v>42976</v>
      </c>
    </row>
    <row r="236" spans="1:9" x14ac:dyDescent="0.3">
      <c r="A236" t="s">
        <v>493</v>
      </c>
      <c r="B236" t="s">
        <v>494</v>
      </c>
      <c r="C236" t="s">
        <v>17</v>
      </c>
      <c r="D236">
        <v>54</v>
      </c>
      <c r="E236" t="s">
        <v>12</v>
      </c>
      <c r="F236" t="s">
        <v>37</v>
      </c>
      <c r="G236">
        <v>190182</v>
      </c>
      <c r="H236" t="s">
        <v>20</v>
      </c>
      <c r="I236" s="1">
        <v>45033</v>
      </c>
    </row>
    <row r="237" spans="1:9" x14ac:dyDescent="0.3">
      <c r="A237" t="s">
        <v>495</v>
      </c>
      <c r="B237" t="s">
        <v>496</v>
      </c>
      <c r="C237" t="s">
        <v>17</v>
      </c>
      <c r="D237">
        <v>26</v>
      </c>
      <c r="E237" t="s">
        <v>34</v>
      </c>
      <c r="F237" t="s">
        <v>23</v>
      </c>
      <c r="G237">
        <v>102879</v>
      </c>
      <c r="H237" t="s">
        <v>20</v>
      </c>
      <c r="I237" s="1">
        <v>42866</v>
      </c>
    </row>
    <row r="238" spans="1:9" x14ac:dyDescent="0.3">
      <c r="A238" t="s">
        <v>497</v>
      </c>
      <c r="B238" t="s">
        <v>498</v>
      </c>
      <c r="C238" t="s">
        <v>17</v>
      </c>
      <c r="D238">
        <v>41</v>
      </c>
      <c r="E238" t="s">
        <v>30</v>
      </c>
      <c r="F238" t="s">
        <v>13</v>
      </c>
      <c r="G238">
        <v>189899</v>
      </c>
      <c r="H238" t="s">
        <v>20</v>
      </c>
      <c r="I238" s="1">
        <v>45579</v>
      </c>
    </row>
    <row r="239" spans="1:9" x14ac:dyDescent="0.3">
      <c r="A239" t="s">
        <v>499</v>
      </c>
      <c r="B239" t="s">
        <v>500</v>
      </c>
      <c r="C239" t="s">
        <v>17</v>
      </c>
      <c r="D239">
        <v>52</v>
      </c>
      <c r="E239" t="s">
        <v>34</v>
      </c>
      <c r="F239" t="s">
        <v>37</v>
      </c>
      <c r="G239">
        <v>156727</v>
      </c>
      <c r="H239" t="s">
        <v>14</v>
      </c>
      <c r="I239" s="1">
        <v>44108</v>
      </c>
    </row>
    <row r="240" spans="1:9" x14ac:dyDescent="0.3">
      <c r="A240" t="s">
        <v>501</v>
      </c>
      <c r="B240" t="s">
        <v>502</v>
      </c>
      <c r="C240" t="s">
        <v>11</v>
      </c>
      <c r="D240">
        <v>66</v>
      </c>
      <c r="E240" t="s">
        <v>30</v>
      </c>
      <c r="F240" t="s">
        <v>31</v>
      </c>
      <c r="G240">
        <v>64859</v>
      </c>
      <c r="H240" t="s">
        <v>14</v>
      </c>
      <c r="I240" s="1">
        <v>45601</v>
      </c>
    </row>
    <row r="241" spans="1:9" x14ac:dyDescent="0.3">
      <c r="A241" t="s">
        <v>503</v>
      </c>
      <c r="B241" t="s">
        <v>504</v>
      </c>
      <c r="C241" t="s">
        <v>17</v>
      </c>
      <c r="D241">
        <v>52</v>
      </c>
      <c r="E241" t="s">
        <v>34</v>
      </c>
      <c r="F241" t="s">
        <v>37</v>
      </c>
      <c r="G241">
        <v>72098</v>
      </c>
      <c r="H241" t="s">
        <v>14</v>
      </c>
      <c r="I241" s="1">
        <v>44544</v>
      </c>
    </row>
    <row r="242" spans="1:9" x14ac:dyDescent="0.3">
      <c r="A242" t="s">
        <v>505</v>
      </c>
      <c r="B242" t="s">
        <v>506</v>
      </c>
      <c r="C242" t="s">
        <v>17</v>
      </c>
      <c r="D242">
        <v>65</v>
      </c>
      <c r="E242" t="s">
        <v>18</v>
      </c>
      <c r="F242" t="s">
        <v>23</v>
      </c>
      <c r="G242">
        <v>166323</v>
      </c>
      <c r="H242" t="s">
        <v>14</v>
      </c>
      <c r="I242" s="1">
        <v>45420</v>
      </c>
    </row>
    <row r="243" spans="1:9" x14ac:dyDescent="0.3">
      <c r="A243" t="s">
        <v>507</v>
      </c>
      <c r="B243" t="s">
        <v>508</v>
      </c>
      <c r="C243" t="s">
        <v>11</v>
      </c>
      <c r="D243">
        <v>53</v>
      </c>
      <c r="E243" t="s">
        <v>30</v>
      </c>
      <c r="F243" t="s">
        <v>27</v>
      </c>
      <c r="G243">
        <v>142413</v>
      </c>
      <c r="H243" t="s">
        <v>20</v>
      </c>
      <c r="I243" s="1">
        <v>44622</v>
      </c>
    </row>
    <row r="244" spans="1:9" x14ac:dyDescent="0.3">
      <c r="A244" t="s">
        <v>509</v>
      </c>
      <c r="B244" t="s">
        <v>510</v>
      </c>
      <c r="C244" t="s">
        <v>17</v>
      </c>
      <c r="D244">
        <v>35</v>
      </c>
      <c r="E244" t="s">
        <v>18</v>
      </c>
      <c r="F244" t="s">
        <v>37</v>
      </c>
      <c r="G244">
        <v>20526</v>
      </c>
      <c r="H244" t="s">
        <v>14</v>
      </c>
      <c r="I244" s="1">
        <v>43688</v>
      </c>
    </row>
    <row r="245" spans="1:9" x14ac:dyDescent="0.3">
      <c r="A245" t="s">
        <v>511</v>
      </c>
      <c r="B245" t="s">
        <v>512</v>
      </c>
      <c r="C245" t="s">
        <v>11</v>
      </c>
      <c r="D245">
        <v>66</v>
      </c>
      <c r="E245" t="s">
        <v>12</v>
      </c>
      <c r="F245" t="s">
        <v>42</v>
      </c>
      <c r="G245">
        <v>88760</v>
      </c>
      <c r="H245" t="s">
        <v>24</v>
      </c>
      <c r="I245" s="1">
        <v>44922</v>
      </c>
    </row>
    <row r="246" spans="1:9" x14ac:dyDescent="0.3">
      <c r="A246" t="s">
        <v>513</v>
      </c>
      <c r="B246" t="s">
        <v>514</v>
      </c>
      <c r="C246" t="s">
        <v>11</v>
      </c>
      <c r="D246">
        <v>56</v>
      </c>
      <c r="E246" t="s">
        <v>34</v>
      </c>
      <c r="F246" t="s">
        <v>37</v>
      </c>
      <c r="G246">
        <v>67837</v>
      </c>
      <c r="H246" t="s">
        <v>20</v>
      </c>
      <c r="I246" s="1">
        <v>43395</v>
      </c>
    </row>
    <row r="247" spans="1:9" x14ac:dyDescent="0.3">
      <c r="A247" t="s">
        <v>515</v>
      </c>
      <c r="B247" t="s">
        <v>516</v>
      </c>
      <c r="C247" t="s">
        <v>17</v>
      </c>
      <c r="D247">
        <v>49</v>
      </c>
      <c r="E247" t="s">
        <v>12</v>
      </c>
      <c r="F247" t="s">
        <v>31</v>
      </c>
      <c r="G247">
        <v>31536</v>
      </c>
      <c r="H247" t="s">
        <v>20</v>
      </c>
      <c r="I247" s="1">
        <v>43113</v>
      </c>
    </row>
    <row r="248" spans="1:9" x14ac:dyDescent="0.3">
      <c r="A248" t="s">
        <v>517</v>
      </c>
      <c r="B248" t="s">
        <v>518</v>
      </c>
      <c r="C248" t="s">
        <v>11</v>
      </c>
      <c r="D248">
        <v>41</v>
      </c>
      <c r="E248" t="s">
        <v>12</v>
      </c>
      <c r="F248" t="s">
        <v>31</v>
      </c>
      <c r="G248">
        <v>48541</v>
      </c>
      <c r="H248" t="s">
        <v>14</v>
      </c>
      <c r="I248" s="1">
        <v>44257</v>
      </c>
    </row>
    <row r="249" spans="1:9" x14ac:dyDescent="0.3">
      <c r="A249" t="s">
        <v>519</v>
      </c>
      <c r="B249" t="s">
        <v>520</v>
      </c>
      <c r="C249" t="s">
        <v>11</v>
      </c>
      <c r="D249">
        <v>40</v>
      </c>
      <c r="E249" t="s">
        <v>12</v>
      </c>
      <c r="F249" t="s">
        <v>13</v>
      </c>
      <c r="G249">
        <v>99083</v>
      </c>
      <c r="H249" t="s">
        <v>20</v>
      </c>
      <c r="I249" s="1">
        <v>45179</v>
      </c>
    </row>
    <row r="250" spans="1:9" x14ac:dyDescent="0.3">
      <c r="A250" t="s">
        <v>521</v>
      </c>
      <c r="B250" t="s">
        <v>522</v>
      </c>
      <c r="C250" t="s">
        <v>11</v>
      </c>
      <c r="D250">
        <v>49</v>
      </c>
      <c r="E250" t="s">
        <v>12</v>
      </c>
      <c r="F250" t="s">
        <v>31</v>
      </c>
      <c r="G250">
        <v>54531</v>
      </c>
      <c r="H250" t="s">
        <v>24</v>
      </c>
      <c r="I250" s="1">
        <v>44203</v>
      </c>
    </row>
    <row r="251" spans="1:9" x14ac:dyDescent="0.3">
      <c r="A251" t="s">
        <v>523</v>
      </c>
      <c r="B251" t="s">
        <v>524</v>
      </c>
      <c r="C251" t="s">
        <v>11</v>
      </c>
      <c r="D251">
        <v>54</v>
      </c>
      <c r="E251" t="s">
        <v>34</v>
      </c>
      <c r="F251" t="s">
        <v>19</v>
      </c>
      <c r="G251">
        <v>28712</v>
      </c>
      <c r="H251" t="s">
        <v>14</v>
      </c>
      <c r="I251" s="1">
        <v>43294</v>
      </c>
    </row>
    <row r="252" spans="1:9" x14ac:dyDescent="0.3">
      <c r="A252" t="s">
        <v>525</v>
      </c>
      <c r="B252" t="s">
        <v>526</v>
      </c>
      <c r="C252" t="s">
        <v>17</v>
      </c>
      <c r="D252">
        <v>29</v>
      </c>
      <c r="E252" t="s">
        <v>12</v>
      </c>
      <c r="F252" t="s">
        <v>23</v>
      </c>
      <c r="G252">
        <v>124101</v>
      </c>
      <c r="H252" t="s">
        <v>20</v>
      </c>
      <c r="I252" s="1">
        <v>45422</v>
      </c>
    </row>
    <row r="253" spans="1:9" x14ac:dyDescent="0.3">
      <c r="A253" t="s">
        <v>527</v>
      </c>
      <c r="B253" t="s">
        <v>528</v>
      </c>
      <c r="C253" t="s">
        <v>11</v>
      </c>
      <c r="D253">
        <v>66</v>
      </c>
      <c r="E253" t="s">
        <v>34</v>
      </c>
      <c r="F253" t="s">
        <v>23</v>
      </c>
      <c r="G253">
        <v>85455</v>
      </c>
      <c r="H253" t="s">
        <v>20</v>
      </c>
      <c r="I253" s="1">
        <v>45078</v>
      </c>
    </row>
    <row r="254" spans="1:9" x14ac:dyDescent="0.3">
      <c r="A254" t="s">
        <v>529</v>
      </c>
      <c r="B254" t="s">
        <v>530</v>
      </c>
      <c r="C254" t="s">
        <v>17</v>
      </c>
      <c r="D254">
        <v>72</v>
      </c>
      <c r="E254" t="s">
        <v>34</v>
      </c>
      <c r="F254" t="s">
        <v>27</v>
      </c>
      <c r="G254">
        <v>94744</v>
      </c>
      <c r="H254" t="s">
        <v>14</v>
      </c>
      <c r="I254" s="1">
        <v>43323</v>
      </c>
    </row>
    <row r="255" spans="1:9" x14ac:dyDescent="0.3">
      <c r="A255" t="s">
        <v>531</v>
      </c>
      <c r="B255" t="s">
        <v>532</v>
      </c>
      <c r="C255" t="s">
        <v>11</v>
      </c>
      <c r="D255">
        <v>30</v>
      </c>
      <c r="E255" t="s">
        <v>18</v>
      </c>
      <c r="F255" t="s">
        <v>27</v>
      </c>
      <c r="G255">
        <v>149749</v>
      </c>
      <c r="H255" t="s">
        <v>14</v>
      </c>
      <c r="I255" s="1">
        <v>42930</v>
      </c>
    </row>
    <row r="256" spans="1:9" x14ac:dyDescent="0.3">
      <c r="A256" t="s">
        <v>533</v>
      </c>
      <c r="B256" t="s">
        <v>534</v>
      </c>
      <c r="C256" t="s">
        <v>11</v>
      </c>
      <c r="D256">
        <v>40</v>
      </c>
      <c r="E256" t="s">
        <v>30</v>
      </c>
      <c r="F256" t="s">
        <v>23</v>
      </c>
      <c r="G256">
        <v>25109</v>
      </c>
      <c r="H256" t="s">
        <v>14</v>
      </c>
      <c r="I256" s="1">
        <v>42673</v>
      </c>
    </row>
    <row r="257" spans="1:9" x14ac:dyDescent="0.3">
      <c r="A257" t="s">
        <v>535</v>
      </c>
      <c r="B257" t="s">
        <v>536</v>
      </c>
      <c r="C257" t="s">
        <v>11</v>
      </c>
      <c r="D257">
        <v>42</v>
      </c>
      <c r="E257" t="s">
        <v>30</v>
      </c>
      <c r="F257" t="s">
        <v>42</v>
      </c>
      <c r="G257">
        <v>69268</v>
      </c>
      <c r="H257" t="s">
        <v>14</v>
      </c>
      <c r="I257" s="1">
        <v>44081</v>
      </c>
    </row>
    <row r="258" spans="1:9" x14ac:dyDescent="0.3">
      <c r="A258" t="s">
        <v>537</v>
      </c>
      <c r="B258" t="s">
        <v>538</v>
      </c>
      <c r="C258" t="s">
        <v>11</v>
      </c>
      <c r="D258">
        <v>52</v>
      </c>
      <c r="E258" t="s">
        <v>34</v>
      </c>
      <c r="F258" t="s">
        <v>27</v>
      </c>
      <c r="G258">
        <v>74615</v>
      </c>
      <c r="H258" t="s">
        <v>14</v>
      </c>
      <c r="I258" s="1">
        <v>42953</v>
      </c>
    </row>
    <row r="259" spans="1:9" x14ac:dyDescent="0.3">
      <c r="A259" t="s">
        <v>539</v>
      </c>
      <c r="B259" t="s">
        <v>540</v>
      </c>
      <c r="C259" t="s">
        <v>17</v>
      </c>
      <c r="D259">
        <v>58</v>
      </c>
      <c r="E259" t="s">
        <v>18</v>
      </c>
      <c r="F259" t="s">
        <v>13</v>
      </c>
      <c r="G259">
        <v>102503</v>
      </c>
      <c r="H259" t="s">
        <v>14</v>
      </c>
      <c r="I259" s="1">
        <v>45819</v>
      </c>
    </row>
    <row r="260" spans="1:9" x14ac:dyDescent="0.3">
      <c r="A260" t="s">
        <v>541</v>
      </c>
      <c r="B260" t="s">
        <v>542</v>
      </c>
      <c r="C260" t="s">
        <v>17</v>
      </c>
      <c r="D260">
        <v>47</v>
      </c>
      <c r="E260" t="s">
        <v>34</v>
      </c>
      <c r="F260" t="s">
        <v>31</v>
      </c>
      <c r="G260">
        <v>180831</v>
      </c>
      <c r="H260" t="s">
        <v>14</v>
      </c>
      <c r="I260" s="1">
        <v>44115</v>
      </c>
    </row>
    <row r="261" spans="1:9" x14ac:dyDescent="0.3">
      <c r="A261" t="s">
        <v>543</v>
      </c>
      <c r="B261" t="s">
        <v>544</v>
      </c>
      <c r="C261" t="s">
        <v>11</v>
      </c>
      <c r="D261">
        <v>34</v>
      </c>
      <c r="E261" t="s">
        <v>34</v>
      </c>
      <c r="F261" t="s">
        <v>23</v>
      </c>
      <c r="G261">
        <v>105708</v>
      </c>
      <c r="H261" t="s">
        <v>14</v>
      </c>
      <c r="I261" s="1">
        <v>44588</v>
      </c>
    </row>
    <row r="262" spans="1:9" x14ac:dyDescent="0.3">
      <c r="A262" t="s">
        <v>545</v>
      </c>
      <c r="B262" t="s">
        <v>546</v>
      </c>
      <c r="C262" t="s">
        <v>11</v>
      </c>
      <c r="D262">
        <v>66</v>
      </c>
      <c r="E262" t="s">
        <v>34</v>
      </c>
      <c r="F262" t="s">
        <v>27</v>
      </c>
      <c r="G262">
        <v>122471</v>
      </c>
      <c r="H262" t="s">
        <v>24</v>
      </c>
      <c r="I262" s="1">
        <v>43744</v>
      </c>
    </row>
    <row r="263" spans="1:9" x14ac:dyDescent="0.3">
      <c r="A263" t="s">
        <v>547</v>
      </c>
      <c r="B263" t="s">
        <v>548</v>
      </c>
      <c r="C263" t="s">
        <v>17</v>
      </c>
      <c r="D263">
        <v>37</v>
      </c>
      <c r="E263" t="s">
        <v>18</v>
      </c>
      <c r="F263" t="s">
        <v>23</v>
      </c>
      <c r="G263">
        <v>177661</v>
      </c>
      <c r="H263" t="s">
        <v>14</v>
      </c>
      <c r="I263" s="1">
        <v>45516</v>
      </c>
    </row>
    <row r="264" spans="1:9" x14ac:dyDescent="0.3">
      <c r="A264" t="s">
        <v>549</v>
      </c>
      <c r="B264" t="s">
        <v>550</v>
      </c>
      <c r="C264" t="s">
        <v>11</v>
      </c>
      <c r="D264">
        <v>65</v>
      </c>
      <c r="E264" t="s">
        <v>30</v>
      </c>
      <c r="F264" t="s">
        <v>19</v>
      </c>
      <c r="G264">
        <v>181087</v>
      </c>
      <c r="H264" t="s">
        <v>24</v>
      </c>
      <c r="I264" s="1">
        <v>43829</v>
      </c>
    </row>
    <row r="265" spans="1:9" x14ac:dyDescent="0.3">
      <c r="A265" t="s">
        <v>551</v>
      </c>
      <c r="B265" t="s">
        <v>552</v>
      </c>
      <c r="C265" t="s">
        <v>11</v>
      </c>
      <c r="D265">
        <v>42</v>
      </c>
      <c r="E265" t="s">
        <v>18</v>
      </c>
      <c r="F265" t="s">
        <v>37</v>
      </c>
      <c r="G265">
        <v>180081</v>
      </c>
      <c r="H265" t="s">
        <v>14</v>
      </c>
      <c r="I265" s="1">
        <v>42297</v>
      </c>
    </row>
    <row r="266" spans="1:9" x14ac:dyDescent="0.3">
      <c r="A266" t="s">
        <v>553</v>
      </c>
      <c r="B266" t="s">
        <v>554</v>
      </c>
      <c r="C266" t="s">
        <v>11</v>
      </c>
      <c r="D266">
        <v>39</v>
      </c>
      <c r="E266" t="s">
        <v>12</v>
      </c>
      <c r="F266" t="s">
        <v>31</v>
      </c>
      <c r="G266">
        <v>103309</v>
      </c>
      <c r="H266" t="s">
        <v>14</v>
      </c>
      <c r="I266" s="1">
        <v>44102</v>
      </c>
    </row>
    <row r="267" spans="1:9" x14ac:dyDescent="0.3">
      <c r="A267" t="s">
        <v>555</v>
      </c>
      <c r="B267" t="s">
        <v>556</v>
      </c>
      <c r="C267" t="s">
        <v>17</v>
      </c>
      <c r="D267">
        <v>30</v>
      </c>
      <c r="E267" t="s">
        <v>18</v>
      </c>
      <c r="F267" t="s">
        <v>23</v>
      </c>
      <c r="G267">
        <v>146446</v>
      </c>
      <c r="H267" t="s">
        <v>14</v>
      </c>
      <c r="I267" s="1">
        <v>42770</v>
      </c>
    </row>
    <row r="268" spans="1:9" x14ac:dyDescent="0.3">
      <c r="A268" t="s">
        <v>557</v>
      </c>
      <c r="B268" t="s">
        <v>558</v>
      </c>
      <c r="C268" t="s">
        <v>17</v>
      </c>
      <c r="D268">
        <v>36</v>
      </c>
      <c r="E268" t="s">
        <v>18</v>
      </c>
      <c r="F268" t="s">
        <v>37</v>
      </c>
      <c r="G268">
        <v>126661</v>
      </c>
      <c r="H268" t="s">
        <v>14</v>
      </c>
      <c r="I268" s="1">
        <v>44437</v>
      </c>
    </row>
    <row r="269" spans="1:9" x14ac:dyDescent="0.3">
      <c r="A269" t="s">
        <v>559</v>
      </c>
      <c r="B269" t="s">
        <v>560</v>
      </c>
      <c r="C269" t="s">
        <v>17</v>
      </c>
      <c r="D269">
        <v>66</v>
      </c>
      <c r="E269" t="s">
        <v>18</v>
      </c>
      <c r="F269" t="s">
        <v>27</v>
      </c>
      <c r="G269">
        <v>177215</v>
      </c>
      <c r="H269" t="s">
        <v>14</v>
      </c>
      <c r="I269" s="1">
        <v>43819</v>
      </c>
    </row>
    <row r="270" spans="1:9" x14ac:dyDescent="0.3">
      <c r="A270" t="s">
        <v>561</v>
      </c>
      <c r="B270" t="s">
        <v>562</v>
      </c>
      <c r="C270" t="s">
        <v>11</v>
      </c>
      <c r="D270">
        <v>53</v>
      </c>
      <c r="E270" t="s">
        <v>18</v>
      </c>
      <c r="F270" t="s">
        <v>37</v>
      </c>
      <c r="G270">
        <v>26154</v>
      </c>
      <c r="H270" t="s">
        <v>20</v>
      </c>
      <c r="I270" s="1">
        <v>43150</v>
      </c>
    </row>
    <row r="271" spans="1:9" x14ac:dyDescent="0.3">
      <c r="A271" t="s">
        <v>563</v>
      </c>
      <c r="B271" t="s">
        <v>564</v>
      </c>
      <c r="C271" t="s">
        <v>11</v>
      </c>
      <c r="D271">
        <v>29</v>
      </c>
      <c r="E271" t="s">
        <v>30</v>
      </c>
      <c r="F271" t="s">
        <v>31</v>
      </c>
      <c r="G271">
        <v>172876</v>
      </c>
      <c r="H271" t="s">
        <v>14</v>
      </c>
      <c r="I271" s="1">
        <v>42737</v>
      </c>
    </row>
    <row r="272" spans="1:9" x14ac:dyDescent="0.3">
      <c r="A272" t="s">
        <v>565</v>
      </c>
      <c r="B272" t="s">
        <v>566</v>
      </c>
      <c r="C272" t="s">
        <v>17</v>
      </c>
      <c r="D272">
        <v>58</v>
      </c>
      <c r="E272" t="s">
        <v>12</v>
      </c>
      <c r="F272" t="s">
        <v>23</v>
      </c>
      <c r="G272">
        <v>192760</v>
      </c>
      <c r="H272" t="s">
        <v>20</v>
      </c>
      <c r="I272" s="1">
        <v>45051</v>
      </c>
    </row>
    <row r="273" spans="1:9" x14ac:dyDescent="0.3">
      <c r="A273" t="s">
        <v>567</v>
      </c>
      <c r="B273" t="s">
        <v>568</v>
      </c>
      <c r="C273" t="s">
        <v>17</v>
      </c>
      <c r="D273">
        <v>36</v>
      </c>
      <c r="E273" t="s">
        <v>30</v>
      </c>
      <c r="F273" t="s">
        <v>19</v>
      </c>
      <c r="G273">
        <v>84288</v>
      </c>
      <c r="H273" t="s">
        <v>20</v>
      </c>
      <c r="I273" s="1">
        <v>43890</v>
      </c>
    </row>
    <row r="274" spans="1:9" x14ac:dyDescent="0.3">
      <c r="A274" t="s">
        <v>569</v>
      </c>
      <c r="B274" t="s">
        <v>570</v>
      </c>
      <c r="C274" t="s">
        <v>17</v>
      </c>
      <c r="D274">
        <v>29</v>
      </c>
      <c r="E274" t="s">
        <v>30</v>
      </c>
      <c r="F274" t="s">
        <v>42</v>
      </c>
      <c r="G274">
        <v>71195</v>
      </c>
      <c r="H274" t="s">
        <v>14</v>
      </c>
      <c r="I274" s="1">
        <v>44008</v>
      </c>
    </row>
    <row r="275" spans="1:9" x14ac:dyDescent="0.3">
      <c r="A275" t="s">
        <v>571</v>
      </c>
      <c r="B275" t="s">
        <v>572</v>
      </c>
      <c r="C275" t="s">
        <v>17</v>
      </c>
      <c r="D275">
        <v>26</v>
      </c>
      <c r="E275" t="s">
        <v>18</v>
      </c>
      <c r="F275" t="s">
        <v>27</v>
      </c>
      <c r="G275">
        <v>40581</v>
      </c>
      <c r="H275" t="s">
        <v>14</v>
      </c>
      <c r="I275" s="1">
        <v>45559</v>
      </c>
    </row>
    <row r="276" spans="1:9" x14ac:dyDescent="0.3">
      <c r="A276" t="s">
        <v>573</v>
      </c>
      <c r="B276" t="s">
        <v>574</v>
      </c>
      <c r="C276" t="s">
        <v>11</v>
      </c>
      <c r="D276">
        <v>24</v>
      </c>
      <c r="E276" t="s">
        <v>34</v>
      </c>
      <c r="F276" t="s">
        <v>23</v>
      </c>
      <c r="G276">
        <v>50087</v>
      </c>
      <c r="H276" t="s">
        <v>20</v>
      </c>
      <c r="I276" s="1">
        <v>43775</v>
      </c>
    </row>
    <row r="277" spans="1:9" x14ac:dyDescent="0.3">
      <c r="A277" t="s">
        <v>575</v>
      </c>
      <c r="B277" t="s">
        <v>576</v>
      </c>
      <c r="C277" t="s">
        <v>17</v>
      </c>
      <c r="D277">
        <v>45</v>
      </c>
      <c r="E277" t="s">
        <v>34</v>
      </c>
      <c r="F277" t="s">
        <v>31</v>
      </c>
      <c r="G277">
        <v>184053</v>
      </c>
      <c r="H277" t="s">
        <v>14</v>
      </c>
      <c r="I277" s="1">
        <v>44122</v>
      </c>
    </row>
    <row r="278" spans="1:9" x14ac:dyDescent="0.3">
      <c r="A278" t="s">
        <v>577</v>
      </c>
      <c r="B278" t="s">
        <v>578</v>
      </c>
      <c r="C278" t="s">
        <v>11</v>
      </c>
      <c r="D278">
        <v>31</v>
      </c>
      <c r="E278" t="s">
        <v>30</v>
      </c>
      <c r="F278" t="s">
        <v>27</v>
      </c>
      <c r="G278">
        <v>89298</v>
      </c>
      <c r="H278" t="s">
        <v>14</v>
      </c>
      <c r="I278" s="1">
        <v>43083</v>
      </c>
    </row>
    <row r="279" spans="1:9" x14ac:dyDescent="0.3">
      <c r="A279" t="s">
        <v>579</v>
      </c>
      <c r="B279" t="s">
        <v>580</v>
      </c>
      <c r="C279" t="s">
        <v>17</v>
      </c>
      <c r="D279">
        <v>48</v>
      </c>
      <c r="E279" t="s">
        <v>30</v>
      </c>
      <c r="F279" t="s">
        <v>13</v>
      </c>
      <c r="G279">
        <v>66167</v>
      </c>
      <c r="H279" t="s">
        <v>24</v>
      </c>
      <c r="I279" s="1">
        <v>43497</v>
      </c>
    </row>
    <row r="280" spans="1:9" x14ac:dyDescent="0.3">
      <c r="A280" t="s">
        <v>581</v>
      </c>
      <c r="B280" t="s">
        <v>582</v>
      </c>
      <c r="C280" t="s">
        <v>11</v>
      </c>
      <c r="D280">
        <v>69</v>
      </c>
      <c r="E280" t="s">
        <v>18</v>
      </c>
      <c r="F280" t="s">
        <v>37</v>
      </c>
      <c r="G280">
        <v>194480</v>
      </c>
      <c r="H280" t="s">
        <v>14</v>
      </c>
      <c r="I280" s="1">
        <v>43316</v>
      </c>
    </row>
    <row r="281" spans="1:9" x14ac:dyDescent="0.3">
      <c r="A281" t="s">
        <v>583</v>
      </c>
      <c r="B281" t="s">
        <v>584</v>
      </c>
      <c r="C281" t="s">
        <v>17</v>
      </c>
      <c r="D281">
        <v>36</v>
      </c>
      <c r="E281" t="s">
        <v>30</v>
      </c>
      <c r="F281" t="s">
        <v>42</v>
      </c>
      <c r="G281">
        <v>59499</v>
      </c>
      <c r="H281" t="s">
        <v>20</v>
      </c>
      <c r="I281" s="1">
        <v>42882</v>
      </c>
    </row>
    <row r="282" spans="1:9" x14ac:dyDescent="0.3">
      <c r="A282" t="s">
        <v>585</v>
      </c>
      <c r="B282" t="s">
        <v>586</v>
      </c>
      <c r="C282" t="s">
        <v>17</v>
      </c>
      <c r="D282">
        <v>64</v>
      </c>
      <c r="E282" t="s">
        <v>18</v>
      </c>
      <c r="F282" t="s">
        <v>31</v>
      </c>
      <c r="G282">
        <v>145816</v>
      </c>
      <c r="H282" t="s">
        <v>24</v>
      </c>
      <c r="I282" s="1">
        <v>44500</v>
      </c>
    </row>
    <row r="283" spans="1:9" x14ac:dyDescent="0.3">
      <c r="A283" t="s">
        <v>587</v>
      </c>
      <c r="B283" t="s">
        <v>588</v>
      </c>
      <c r="C283" t="s">
        <v>17</v>
      </c>
      <c r="D283">
        <v>33</v>
      </c>
      <c r="E283" t="s">
        <v>34</v>
      </c>
      <c r="F283" t="s">
        <v>13</v>
      </c>
      <c r="G283">
        <v>189631</v>
      </c>
      <c r="H283" t="s">
        <v>14</v>
      </c>
      <c r="I283" s="1">
        <v>42880</v>
      </c>
    </row>
    <row r="284" spans="1:9" x14ac:dyDescent="0.3">
      <c r="A284" t="s">
        <v>589</v>
      </c>
      <c r="B284" t="s">
        <v>590</v>
      </c>
      <c r="C284" t="s">
        <v>17</v>
      </c>
      <c r="D284">
        <v>70</v>
      </c>
      <c r="E284" t="s">
        <v>34</v>
      </c>
      <c r="F284" t="s">
        <v>23</v>
      </c>
      <c r="G284">
        <v>116347</v>
      </c>
      <c r="H284" t="s">
        <v>14</v>
      </c>
      <c r="I284" s="1">
        <v>42754</v>
      </c>
    </row>
    <row r="285" spans="1:9" x14ac:dyDescent="0.3">
      <c r="A285" t="s">
        <v>591</v>
      </c>
      <c r="B285" t="s">
        <v>592</v>
      </c>
      <c r="C285" t="s">
        <v>11</v>
      </c>
      <c r="D285">
        <v>22</v>
      </c>
      <c r="E285" t="s">
        <v>12</v>
      </c>
      <c r="F285" t="s">
        <v>19</v>
      </c>
      <c r="G285">
        <v>68787</v>
      </c>
      <c r="H285" t="s">
        <v>14</v>
      </c>
      <c r="I285" s="1">
        <v>42305</v>
      </c>
    </row>
    <row r="286" spans="1:9" x14ac:dyDescent="0.3">
      <c r="A286" t="s">
        <v>593</v>
      </c>
      <c r="B286" t="s">
        <v>594</v>
      </c>
      <c r="C286" t="s">
        <v>17</v>
      </c>
      <c r="D286">
        <v>52</v>
      </c>
      <c r="E286" t="s">
        <v>34</v>
      </c>
      <c r="F286" t="s">
        <v>27</v>
      </c>
      <c r="G286">
        <v>55488</v>
      </c>
      <c r="H286" t="s">
        <v>14</v>
      </c>
      <c r="I286" s="1">
        <v>44249</v>
      </c>
    </row>
    <row r="287" spans="1:9" x14ac:dyDescent="0.3">
      <c r="A287" t="s">
        <v>595</v>
      </c>
      <c r="B287" t="s">
        <v>596</v>
      </c>
      <c r="C287" t="s">
        <v>11</v>
      </c>
      <c r="D287">
        <v>29</v>
      </c>
      <c r="E287" t="s">
        <v>30</v>
      </c>
      <c r="F287" t="s">
        <v>37</v>
      </c>
      <c r="G287">
        <v>94441</v>
      </c>
      <c r="H287" t="s">
        <v>14</v>
      </c>
      <c r="I287" s="1">
        <v>43856</v>
      </c>
    </row>
    <row r="288" spans="1:9" x14ac:dyDescent="0.3">
      <c r="A288" t="s">
        <v>597</v>
      </c>
      <c r="B288" t="s">
        <v>598</v>
      </c>
      <c r="C288" t="s">
        <v>11</v>
      </c>
      <c r="D288">
        <v>42</v>
      </c>
      <c r="E288" t="s">
        <v>34</v>
      </c>
      <c r="F288" t="s">
        <v>27</v>
      </c>
      <c r="G288">
        <v>42431</v>
      </c>
      <c r="H288" t="s">
        <v>20</v>
      </c>
      <c r="I288" s="1">
        <v>45769</v>
      </c>
    </row>
    <row r="289" spans="1:9" x14ac:dyDescent="0.3">
      <c r="A289" t="s">
        <v>599</v>
      </c>
      <c r="B289" t="s">
        <v>600</v>
      </c>
      <c r="C289" t="s">
        <v>11</v>
      </c>
      <c r="D289">
        <v>69</v>
      </c>
      <c r="E289" t="s">
        <v>18</v>
      </c>
      <c r="F289" t="s">
        <v>42</v>
      </c>
      <c r="G289">
        <v>81681</v>
      </c>
      <c r="H289" t="s">
        <v>14</v>
      </c>
      <c r="I289" s="1">
        <v>44856</v>
      </c>
    </row>
    <row r="290" spans="1:9" x14ac:dyDescent="0.3">
      <c r="A290" t="s">
        <v>601</v>
      </c>
      <c r="B290" t="s">
        <v>602</v>
      </c>
      <c r="C290" t="s">
        <v>11</v>
      </c>
      <c r="D290">
        <v>38</v>
      </c>
      <c r="E290" t="s">
        <v>34</v>
      </c>
      <c r="F290" t="s">
        <v>23</v>
      </c>
      <c r="G290">
        <v>142720</v>
      </c>
      <c r="H290" t="s">
        <v>14</v>
      </c>
      <c r="I290" s="1">
        <v>44265</v>
      </c>
    </row>
    <row r="291" spans="1:9" x14ac:dyDescent="0.3">
      <c r="A291" t="s">
        <v>603</v>
      </c>
      <c r="B291" t="s">
        <v>604</v>
      </c>
      <c r="C291" t="s">
        <v>17</v>
      </c>
      <c r="D291">
        <v>53</v>
      </c>
      <c r="E291" t="s">
        <v>12</v>
      </c>
      <c r="F291" t="s">
        <v>27</v>
      </c>
      <c r="G291">
        <v>69153</v>
      </c>
      <c r="H291" t="s">
        <v>24</v>
      </c>
      <c r="I291" s="1">
        <v>42617</v>
      </c>
    </row>
    <row r="292" spans="1:9" x14ac:dyDescent="0.3">
      <c r="A292" t="s">
        <v>605</v>
      </c>
      <c r="B292" t="s">
        <v>606</v>
      </c>
      <c r="C292" t="s">
        <v>11</v>
      </c>
      <c r="D292">
        <v>70</v>
      </c>
      <c r="E292" t="s">
        <v>34</v>
      </c>
      <c r="F292" t="s">
        <v>37</v>
      </c>
      <c r="G292">
        <v>26368</v>
      </c>
      <c r="H292" t="s">
        <v>20</v>
      </c>
      <c r="I292" s="1">
        <v>43499</v>
      </c>
    </row>
    <row r="293" spans="1:9" x14ac:dyDescent="0.3">
      <c r="A293" t="s">
        <v>607</v>
      </c>
      <c r="B293" t="s">
        <v>608</v>
      </c>
      <c r="C293" t="s">
        <v>11</v>
      </c>
      <c r="D293">
        <v>40</v>
      </c>
      <c r="E293" t="s">
        <v>18</v>
      </c>
      <c r="F293" t="s">
        <v>23</v>
      </c>
      <c r="G293">
        <v>178496</v>
      </c>
      <c r="H293" t="s">
        <v>20</v>
      </c>
      <c r="I293" s="1">
        <v>44893</v>
      </c>
    </row>
    <row r="294" spans="1:9" x14ac:dyDescent="0.3">
      <c r="A294" t="s">
        <v>609</v>
      </c>
      <c r="B294" t="s">
        <v>610</v>
      </c>
      <c r="C294" t="s">
        <v>11</v>
      </c>
      <c r="D294">
        <v>33</v>
      </c>
      <c r="E294" t="s">
        <v>18</v>
      </c>
      <c r="F294" t="s">
        <v>27</v>
      </c>
      <c r="G294">
        <v>132360</v>
      </c>
      <c r="H294" t="s">
        <v>14</v>
      </c>
      <c r="I294" s="1">
        <v>42674</v>
      </c>
    </row>
    <row r="295" spans="1:9" x14ac:dyDescent="0.3">
      <c r="A295" t="s">
        <v>611</v>
      </c>
      <c r="B295" t="s">
        <v>612</v>
      </c>
      <c r="C295" t="s">
        <v>17</v>
      </c>
      <c r="D295">
        <v>74</v>
      </c>
      <c r="E295" t="s">
        <v>30</v>
      </c>
      <c r="F295" t="s">
        <v>19</v>
      </c>
      <c r="G295">
        <v>196076</v>
      </c>
      <c r="H295" t="s">
        <v>20</v>
      </c>
      <c r="I295" s="1">
        <v>43335</v>
      </c>
    </row>
    <row r="296" spans="1:9" x14ac:dyDescent="0.3">
      <c r="A296" t="s">
        <v>613</v>
      </c>
      <c r="B296" t="s">
        <v>614</v>
      </c>
      <c r="C296" t="s">
        <v>17</v>
      </c>
      <c r="D296">
        <v>56</v>
      </c>
      <c r="E296" t="s">
        <v>34</v>
      </c>
      <c r="F296" t="s">
        <v>31</v>
      </c>
      <c r="G296">
        <v>132755</v>
      </c>
      <c r="H296" t="s">
        <v>14</v>
      </c>
      <c r="I296" s="1">
        <v>42510</v>
      </c>
    </row>
    <row r="297" spans="1:9" x14ac:dyDescent="0.3">
      <c r="A297" t="s">
        <v>615</v>
      </c>
      <c r="B297" t="s">
        <v>616</v>
      </c>
      <c r="C297" t="s">
        <v>17</v>
      </c>
      <c r="D297">
        <v>62</v>
      </c>
      <c r="E297" t="s">
        <v>18</v>
      </c>
      <c r="F297" t="s">
        <v>23</v>
      </c>
      <c r="G297">
        <v>76985</v>
      </c>
      <c r="H297" t="s">
        <v>14</v>
      </c>
      <c r="I297" s="1">
        <v>44646</v>
      </c>
    </row>
    <row r="298" spans="1:9" x14ac:dyDescent="0.3">
      <c r="A298" t="s">
        <v>617</v>
      </c>
      <c r="B298" t="s">
        <v>618</v>
      </c>
      <c r="C298" t="s">
        <v>17</v>
      </c>
      <c r="D298">
        <v>70</v>
      </c>
      <c r="E298" t="s">
        <v>12</v>
      </c>
      <c r="F298" t="s">
        <v>31</v>
      </c>
      <c r="G298">
        <v>70069</v>
      </c>
      <c r="H298" t="s">
        <v>14</v>
      </c>
      <c r="I298" s="1">
        <v>44862</v>
      </c>
    </row>
    <row r="299" spans="1:9" x14ac:dyDescent="0.3">
      <c r="A299" t="s">
        <v>619</v>
      </c>
      <c r="B299" t="s">
        <v>620</v>
      </c>
      <c r="C299" t="s">
        <v>11</v>
      </c>
      <c r="D299">
        <v>59</v>
      </c>
      <c r="E299" t="s">
        <v>30</v>
      </c>
      <c r="F299" t="s">
        <v>23</v>
      </c>
      <c r="G299">
        <v>72326</v>
      </c>
      <c r="H299" t="s">
        <v>20</v>
      </c>
      <c r="I299" s="1">
        <v>42922</v>
      </c>
    </row>
    <row r="300" spans="1:9" x14ac:dyDescent="0.3">
      <c r="A300" t="s">
        <v>621</v>
      </c>
      <c r="B300" t="s">
        <v>622</v>
      </c>
      <c r="C300" t="s">
        <v>11</v>
      </c>
      <c r="D300">
        <v>56</v>
      </c>
      <c r="E300" t="s">
        <v>12</v>
      </c>
      <c r="F300" t="s">
        <v>19</v>
      </c>
      <c r="G300">
        <v>128737</v>
      </c>
      <c r="H300" t="s">
        <v>14</v>
      </c>
      <c r="I300" s="1">
        <v>45200</v>
      </c>
    </row>
    <row r="301" spans="1:9" x14ac:dyDescent="0.3">
      <c r="A301" t="s">
        <v>623</v>
      </c>
      <c r="B301" t="s">
        <v>624</v>
      </c>
      <c r="C301" t="s">
        <v>17</v>
      </c>
      <c r="D301">
        <v>31</v>
      </c>
      <c r="E301" t="s">
        <v>34</v>
      </c>
      <c r="F301" t="s">
        <v>31</v>
      </c>
      <c r="G301">
        <v>174470</v>
      </c>
      <c r="H301" t="s">
        <v>14</v>
      </c>
      <c r="I301" s="1">
        <v>45402</v>
      </c>
    </row>
    <row r="302" spans="1:9" x14ac:dyDescent="0.3">
      <c r="A302" t="s">
        <v>625</v>
      </c>
      <c r="B302" t="s">
        <v>626</v>
      </c>
      <c r="C302" t="s">
        <v>11</v>
      </c>
      <c r="D302">
        <v>48</v>
      </c>
      <c r="E302" t="s">
        <v>34</v>
      </c>
      <c r="F302" t="s">
        <v>13</v>
      </c>
      <c r="G302">
        <v>70861</v>
      </c>
      <c r="H302" t="s">
        <v>14</v>
      </c>
      <c r="I302" s="1">
        <v>45334</v>
      </c>
    </row>
    <row r="303" spans="1:9" x14ac:dyDescent="0.3">
      <c r="A303" t="s">
        <v>627</v>
      </c>
      <c r="B303" t="s">
        <v>628</v>
      </c>
      <c r="C303" t="s">
        <v>11</v>
      </c>
      <c r="D303">
        <v>22</v>
      </c>
      <c r="E303" t="s">
        <v>34</v>
      </c>
      <c r="F303" t="s">
        <v>37</v>
      </c>
      <c r="G303">
        <v>95897</v>
      </c>
      <c r="H303" t="s">
        <v>14</v>
      </c>
      <c r="I303" s="1">
        <v>44473</v>
      </c>
    </row>
    <row r="304" spans="1:9" x14ac:dyDescent="0.3">
      <c r="A304" t="s">
        <v>629</v>
      </c>
      <c r="B304" t="s">
        <v>630</v>
      </c>
      <c r="C304" t="s">
        <v>11</v>
      </c>
      <c r="D304">
        <v>52</v>
      </c>
      <c r="E304" t="s">
        <v>30</v>
      </c>
      <c r="F304" t="s">
        <v>13</v>
      </c>
      <c r="G304">
        <v>147118</v>
      </c>
      <c r="H304" t="s">
        <v>20</v>
      </c>
      <c r="I304" s="1">
        <v>44957</v>
      </c>
    </row>
    <row r="305" spans="1:9" x14ac:dyDescent="0.3">
      <c r="A305" t="s">
        <v>631</v>
      </c>
      <c r="B305" t="s">
        <v>632</v>
      </c>
      <c r="C305" t="s">
        <v>17</v>
      </c>
      <c r="D305">
        <v>40</v>
      </c>
      <c r="E305" t="s">
        <v>18</v>
      </c>
      <c r="F305" t="s">
        <v>27</v>
      </c>
      <c r="G305">
        <v>88577</v>
      </c>
      <c r="H305" t="s">
        <v>20</v>
      </c>
      <c r="I305" s="1">
        <v>43251</v>
      </c>
    </row>
    <row r="306" spans="1:9" x14ac:dyDescent="0.3">
      <c r="A306" t="s">
        <v>633</v>
      </c>
      <c r="B306" t="s">
        <v>634</v>
      </c>
      <c r="C306" t="s">
        <v>17</v>
      </c>
      <c r="D306">
        <v>46</v>
      </c>
      <c r="E306" t="s">
        <v>30</v>
      </c>
      <c r="F306" t="s">
        <v>19</v>
      </c>
      <c r="G306">
        <v>29078</v>
      </c>
      <c r="H306" t="s">
        <v>20</v>
      </c>
      <c r="I306" s="1">
        <v>43041</v>
      </c>
    </row>
    <row r="307" spans="1:9" x14ac:dyDescent="0.3">
      <c r="A307" t="s">
        <v>635</v>
      </c>
      <c r="B307" t="s">
        <v>636</v>
      </c>
      <c r="C307" t="s">
        <v>11</v>
      </c>
      <c r="D307">
        <v>60</v>
      </c>
      <c r="E307" t="s">
        <v>12</v>
      </c>
      <c r="F307" t="s">
        <v>13</v>
      </c>
      <c r="G307">
        <v>176075</v>
      </c>
      <c r="H307" t="s">
        <v>14</v>
      </c>
      <c r="I307" s="1">
        <v>43261</v>
      </c>
    </row>
    <row r="308" spans="1:9" x14ac:dyDescent="0.3">
      <c r="A308" t="s">
        <v>637</v>
      </c>
      <c r="B308" t="s">
        <v>638</v>
      </c>
      <c r="C308" t="s">
        <v>17</v>
      </c>
      <c r="D308">
        <v>28</v>
      </c>
      <c r="E308" t="s">
        <v>30</v>
      </c>
      <c r="F308" t="s">
        <v>23</v>
      </c>
      <c r="G308">
        <v>82768</v>
      </c>
      <c r="H308" t="s">
        <v>14</v>
      </c>
      <c r="I308" s="1">
        <v>42293</v>
      </c>
    </row>
    <row r="309" spans="1:9" x14ac:dyDescent="0.3">
      <c r="A309" t="s">
        <v>639</v>
      </c>
      <c r="B309" t="s">
        <v>640</v>
      </c>
      <c r="C309" t="s">
        <v>17</v>
      </c>
      <c r="D309">
        <v>35</v>
      </c>
      <c r="E309" t="s">
        <v>12</v>
      </c>
      <c r="F309" t="s">
        <v>27</v>
      </c>
      <c r="G309">
        <v>71047</v>
      </c>
      <c r="H309" t="s">
        <v>14</v>
      </c>
      <c r="I309" s="1">
        <v>42239</v>
      </c>
    </row>
    <row r="310" spans="1:9" x14ac:dyDescent="0.3">
      <c r="A310" t="s">
        <v>641</v>
      </c>
      <c r="B310" t="s">
        <v>642</v>
      </c>
      <c r="C310" t="s">
        <v>17</v>
      </c>
      <c r="D310">
        <v>64</v>
      </c>
      <c r="E310" t="s">
        <v>30</v>
      </c>
      <c r="F310" t="s">
        <v>27</v>
      </c>
      <c r="G310">
        <v>91626</v>
      </c>
      <c r="H310" t="s">
        <v>14</v>
      </c>
      <c r="I310" s="1">
        <v>42506</v>
      </c>
    </row>
    <row r="311" spans="1:9" x14ac:dyDescent="0.3">
      <c r="A311" t="s">
        <v>643</v>
      </c>
      <c r="B311" t="s">
        <v>644</v>
      </c>
      <c r="C311" t="s">
        <v>17</v>
      </c>
      <c r="D311">
        <v>29</v>
      </c>
      <c r="E311" t="s">
        <v>18</v>
      </c>
      <c r="F311" t="s">
        <v>13</v>
      </c>
      <c r="G311">
        <v>77660</v>
      </c>
      <c r="H311" t="s">
        <v>14</v>
      </c>
      <c r="I311" s="1">
        <v>42720</v>
      </c>
    </row>
    <row r="312" spans="1:9" x14ac:dyDescent="0.3">
      <c r="A312" t="s">
        <v>645</v>
      </c>
      <c r="B312" t="s">
        <v>646</v>
      </c>
      <c r="C312" t="s">
        <v>17</v>
      </c>
      <c r="D312">
        <v>26</v>
      </c>
      <c r="E312" t="s">
        <v>12</v>
      </c>
      <c r="F312" t="s">
        <v>13</v>
      </c>
      <c r="G312">
        <v>152997</v>
      </c>
      <c r="H312" t="s">
        <v>20</v>
      </c>
      <c r="I312" s="1">
        <v>42861</v>
      </c>
    </row>
    <row r="313" spans="1:9" x14ac:dyDescent="0.3">
      <c r="A313" t="s">
        <v>647</v>
      </c>
      <c r="B313" t="s">
        <v>648</v>
      </c>
      <c r="C313" t="s">
        <v>11</v>
      </c>
      <c r="D313">
        <v>27</v>
      </c>
      <c r="E313" t="s">
        <v>34</v>
      </c>
      <c r="F313" t="s">
        <v>19</v>
      </c>
      <c r="G313">
        <v>137832</v>
      </c>
      <c r="H313" t="s">
        <v>14</v>
      </c>
      <c r="I313" s="1">
        <v>43767</v>
      </c>
    </row>
    <row r="314" spans="1:9" x14ac:dyDescent="0.3">
      <c r="A314" t="s">
        <v>649</v>
      </c>
      <c r="B314" t="s">
        <v>650</v>
      </c>
      <c r="C314" t="s">
        <v>17</v>
      </c>
      <c r="D314">
        <v>61</v>
      </c>
      <c r="E314" t="s">
        <v>34</v>
      </c>
      <c r="F314" t="s">
        <v>37</v>
      </c>
      <c r="G314">
        <v>150406</v>
      </c>
      <c r="H314" t="s">
        <v>14</v>
      </c>
      <c r="I314" s="1">
        <v>43566</v>
      </c>
    </row>
    <row r="315" spans="1:9" x14ac:dyDescent="0.3">
      <c r="A315" t="s">
        <v>651</v>
      </c>
      <c r="B315" t="s">
        <v>652</v>
      </c>
      <c r="C315" t="s">
        <v>11</v>
      </c>
      <c r="D315">
        <v>34</v>
      </c>
      <c r="E315" t="s">
        <v>30</v>
      </c>
      <c r="F315" t="s">
        <v>13</v>
      </c>
      <c r="G315">
        <v>145150</v>
      </c>
      <c r="H315" t="s">
        <v>14</v>
      </c>
      <c r="I315" s="1">
        <v>44714</v>
      </c>
    </row>
    <row r="316" spans="1:9" x14ac:dyDescent="0.3">
      <c r="A316" t="s">
        <v>653</v>
      </c>
      <c r="B316" t="s">
        <v>654</v>
      </c>
      <c r="C316" t="s">
        <v>11</v>
      </c>
      <c r="D316">
        <v>55</v>
      </c>
      <c r="E316" t="s">
        <v>34</v>
      </c>
      <c r="F316" t="s">
        <v>42</v>
      </c>
      <c r="G316">
        <v>177087</v>
      </c>
      <c r="H316" t="s">
        <v>14</v>
      </c>
      <c r="I316" s="1">
        <v>45794</v>
      </c>
    </row>
    <row r="317" spans="1:9" x14ac:dyDescent="0.3">
      <c r="A317" t="s">
        <v>655</v>
      </c>
      <c r="B317" t="s">
        <v>656</v>
      </c>
      <c r="C317" t="s">
        <v>17</v>
      </c>
      <c r="D317">
        <v>24</v>
      </c>
      <c r="E317" t="s">
        <v>12</v>
      </c>
      <c r="F317" t="s">
        <v>13</v>
      </c>
      <c r="G317">
        <v>53320</v>
      </c>
      <c r="H317" t="s">
        <v>14</v>
      </c>
      <c r="I317" s="1">
        <v>45058</v>
      </c>
    </row>
    <row r="318" spans="1:9" x14ac:dyDescent="0.3">
      <c r="A318" t="s">
        <v>657</v>
      </c>
      <c r="B318" t="s">
        <v>658</v>
      </c>
      <c r="C318" t="s">
        <v>11</v>
      </c>
      <c r="D318">
        <v>63</v>
      </c>
      <c r="E318" t="s">
        <v>34</v>
      </c>
      <c r="F318" t="s">
        <v>31</v>
      </c>
      <c r="G318">
        <v>84881</v>
      </c>
      <c r="H318" t="s">
        <v>24</v>
      </c>
      <c r="I318" s="1">
        <v>44650</v>
      </c>
    </row>
    <row r="319" spans="1:9" x14ac:dyDescent="0.3">
      <c r="A319" t="s">
        <v>659</v>
      </c>
      <c r="B319" t="s">
        <v>660</v>
      </c>
      <c r="C319" t="s">
        <v>11</v>
      </c>
      <c r="D319">
        <v>30</v>
      </c>
      <c r="E319" t="s">
        <v>18</v>
      </c>
      <c r="F319" t="s">
        <v>23</v>
      </c>
      <c r="G319">
        <v>110827</v>
      </c>
      <c r="H319" t="s">
        <v>20</v>
      </c>
      <c r="I319" s="1">
        <v>42381</v>
      </c>
    </row>
    <row r="320" spans="1:9" x14ac:dyDescent="0.3">
      <c r="A320" t="s">
        <v>661</v>
      </c>
      <c r="B320" t="s">
        <v>662</v>
      </c>
      <c r="C320" t="s">
        <v>11</v>
      </c>
      <c r="D320">
        <v>57</v>
      </c>
      <c r="E320" t="s">
        <v>18</v>
      </c>
      <c r="F320" t="s">
        <v>42</v>
      </c>
      <c r="G320">
        <v>122215</v>
      </c>
      <c r="H320" t="s">
        <v>24</v>
      </c>
      <c r="I320" s="1">
        <v>43637</v>
      </c>
    </row>
    <row r="321" spans="1:9" x14ac:dyDescent="0.3">
      <c r="A321" t="s">
        <v>663</v>
      </c>
      <c r="B321" t="s">
        <v>664</v>
      </c>
      <c r="C321" t="s">
        <v>17</v>
      </c>
      <c r="D321">
        <v>59</v>
      </c>
      <c r="E321" t="s">
        <v>30</v>
      </c>
      <c r="F321" t="s">
        <v>42</v>
      </c>
      <c r="G321">
        <v>177361</v>
      </c>
      <c r="H321" t="s">
        <v>14</v>
      </c>
      <c r="I321" s="1">
        <v>45185</v>
      </c>
    </row>
    <row r="322" spans="1:9" x14ac:dyDescent="0.3">
      <c r="A322" t="s">
        <v>665</v>
      </c>
      <c r="B322" t="s">
        <v>666</v>
      </c>
      <c r="C322" t="s">
        <v>17</v>
      </c>
      <c r="D322">
        <v>26</v>
      </c>
      <c r="E322" t="s">
        <v>12</v>
      </c>
      <c r="F322" t="s">
        <v>31</v>
      </c>
      <c r="G322">
        <v>154461</v>
      </c>
      <c r="H322" t="s">
        <v>14</v>
      </c>
      <c r="I322" s="1">
        <v>44900</v>
      </c>
    </row>
    <row r="323" spans="1:9" x14ac:dyDescent="0.3">
      <c r="A323" t="s">
        <v>667</v>
      </c>
      <c r="B323" t="s">
        <v>668</v>
      </c>
      <c r="C323" t="s">
        <v>11</v>
      </c>
      <c r="D323">
        <v>67</v>
      </c>
      <c r="E323" t="s">
        <v>18</v>
      </c>
      <c r="F323" t="s">
        <v>31</v>
      </c>
      <c r="G323">
        <v>176755</v>
      </c>
      <c r="H323" t="s">
        <v>14</v>
      </c>
      <c r="I323" s="1">
        <v>43613</v>
      </c>
    </row>
    <row r="324" spans="1:9" x14ac:dyDescent="0.3">
      <c r="A324" t="s">
        <v>669</v>
      </c>
      <c r="B324" t="s">
        <v>670</v>
      </c>
      <c r="C324" t="s">
        <v>17</v>
      </c>
      <c r="D324">
        <v>44</v>
      </c>
      <c r="E324" t="s">
        <v>18</v>
      </c>
      <c r="F324" t="s">
        <v>27</v>
      </c>
      <c r="G324">
        <v>164701</v>
      </c>
      <c r="H324" t="s">
        <v>14</v>
      </c>
      <c r="I324" s="1">
        <v>43365</v>
      </c>
    </row>
    <row r="325" spans="1:9" x14ac:dyDescent="0.3">
      <c r="A325" t="s">
        <v>671</v>
      </c>
      <c r="B325" t="s">
        <v>672</v>
      </c>
      <c r="C325" t="s">
        <v>17</v>
      </c>
      <c r="D325">
        <v>19</v>
      </c>
      <c r="E325" t="s">
        <v>12</v>
      </c>
      <c r="F325" t="s">
        <v>37</v>
      </c>
      <c r="G325">
        <v>81550</v>
      </c>
      <c r="H325" t="s">
        <v>20</v>
      </c>
      <c r="I325" s="1">
        <v>42817</v>
      </c>
    </row>
    <row r="326" spans="1:9" x14ac:dyDescent="0.3">
      <c r="A326" t="s">
        <v>673</v>
      </c>
      <c r="B326" t="s">
        <v>674</v>
      </c>
      <c r="C326" t="s">
        <v>17</v>
      </c>
      <c r="D326">
        <v>22</v>
      </c>
      <c r="E326" t="s">
        <v>34</v>
      </c>
      <c r="F326" t="s">
        <v>23</v>
      </c>
      <c r="G326">
        <v>44826</v>
      </c>
      <c r="H326" t="s">
        <v>14</v>
      </c>
      <c r="I326" s="1">
        <v>44640</v>
      </c>
    </row>
    <row r="327" spans="1:9" x14ac:dyDescent="0.3">
      <c r="A327" t="s">
        <v>675</v>
      </c>
      <c r="B327" t="s">
        <v>676</v>
      </c>
      <c r="C327" t="s">
        <v>17</v>
      </c>
      <c r="D327">
        <v>46</v>
      </c>
      <c r="E327" t="s">
        <v>34</v>
      </c>
      <c r="F327" t="s">
        <v>19</v>
      </c>
      <c r="G327">
        <v>120734</v>
      </c>
      <c r="H327" t="s">
        <v>14</v>
      </c>
      <c r="I327" s="1">
        <v>43847</v>
      </c>
    </row>
    <row r="328" spans="1:9" x14ac:dyDescent="0.3">
      <c r="A328" t="s">
        <v>677</v>
      </c>
      <c r="B328" t="s">
        <v>678</v>
      </c>
      <c r="C328" t="s">
        <v>11</v>
      </c>
      <c r="D328">
        <v>54</v>
      </c>
      <c r="E328" t="s">
        <v>30</v>
      </c>
      <c r="F328" t="s">
        <v>42</v>
      </c>
      <c r="G328">
        <v>177702</v>
      </c>
      <c r="H328" t="s">
        <v>14</v>
      </c>
      <c r="I328" s="1">
        <v>45127</v>
      </c>
    </row>
    <row r="329" spans="1:9" x14ac:dyDescent="0.3">
      <c r="A329" t="s">
        <v>679</v>
      </c>
      <c r="B329" t="s">
        <v>680</v>
      </c>
      <c r="C329" t="s">
        <v>11</v>
      </c>
      <c r="D329">
        <v>55</v>
      </c>
      <c r="E329" t="s">
        <v>34</v>
      </c>
      <c r="F329" t="s">
        <v>19</v>
      </c>
      <c r="G329">
        <v>197235</v>
      </c>
      <c r="H329" t="s">
        <v>14</v>
      </c>
      <c r="I329" s="1">
        <v>44461</v>
      </c>
    </row>
    <row r="330" spans="1:9" x14ac:dyDescent="0.3">
      <c r="A330" t="s">
        <v>681</v>
      </c>
      <c r="B330" t="s">
        <v>682</v>
      </c>
      <c r="C330" t="s">
        <v>17</v>
      </c>
      <c r="D330">
        <v>36</v>
      </c>
      <c r="E330" t="s">
        <v>12</v>
      </c>
      <c r="F330" t="s">
        <v>13</v>
      </c>
      <c r="G330">
        <v>118511</v>
      </c>
      <c r="H330" t="s">
        <v>20</v>
      </c>
      <c r="I330" s="1">
        <v>44791</v>
      </c>
    </row>
    <row r="331" spans="1:9" x14ac:dyDescent="0.3">
      <c r="A331" t="s">
        <v>683</v>
      </c>
      <c r="B331" t="s">
        <v>684</v>
      </c>
      <c r="C331" t="s">
        <v>17</v>
      </c>
      <c r="D331">
        <v>25</v>
      </c>
      <c r="E331" t="s">
        <v>18</v>
      </c>
      <c r="F331" t="s">
        <v>13</v>
      </c>
      <c r="G331">
        <v>31653</v>
      </c>
      <c r="H331" t="s">
        <v>14</v>
      </c>
      <c r="I331" s="1">
        <v>42830</v>
      </c>
    </row>
    <row r="332" spans="1:9" x14ac:dyDescent="0.3">
      <c r="A332" t="s">
        <v>685</v>
      </c>
      <c r="B332" t="s">
        <v>686</v>
      </c>
      <c r="C332" t="s">
        <v>11</v>
      </c>
      <c r="D332">
        <v>65</v>
      </c>
      <c r="E332" t="s">
        <v>34</v>
      </c>
      <c r="F332" t="s">
        <v>19</v>
      </c>
      <c r="G332">
        <v>179033</v>
      </c>
      <c r="H332" t="s">
        <v>14</v>
      </c>
      <c r="I332" s="1">
        <v>43776</v>
      </c>
    </row>
    <row r="333" spans="1:9" x14ac:dyDescent="0.3">
      <c r="A333" t="s">
        <v>687</v>
      </c>
      <c r="B333" t="s">
        <v>688</v>
      </c>
      <c r="C333" t="s">
        <v>11</v>
      </c>
      <c r="D333">
        <v>62</v>
      </c>
      <c r="E333" t="s">
        <v>30</v>
      </c>
      <c r="F333" t="s">
        <v>13</v>
      </c>
      <c r="G333">
        <v>101941</v>
      </c>
      <c r="H333" t="s">
        <v>14</v>
      </c>
      <c r="I333" s="1">
        <v>44448</v>
      </c>
    </row>
    <row r="334" spans="1:9" x14ac:dyDescent="0.3">
      <c r="A334" t="s">
        <v>689</v>
      </c>
      <c r="B334" t="s">
        <v>690</v>
      </c>
      <c r="C334" t="s">
        <v>17</v>
      </c>
      <c r="D334">
        <v>18</v>
      </c>
      <c r="E334" t="s">
        <v>34</v>
      </c>
      <c r="F334" t="s">
        <v>37</v>
      </c>
      <c r="G334">
        <v>53662</v>
      </c>
      <c r="H334" t="s">
        <v>14</v>
      </c>
      <c r="I334" s="1">
        <v>42347</v>
      </c>
    </row>
    <row r="335" spans="1:9" x14ac:dyDescent="0.3">
      <c r="A335" t="s">
        <v>691</v>
      </c>
      <c r="B335" t="s">
        <v>692</v>
      </c>
      <c r="C335" t="s">
        <v>11</v>
      </c>
      <c r="D335">
        <v>39</v>
      </c>
      <c r="E335" t="s">
        <v>12</v>
      </c>
      <c r="F335" t="s">
        <v>31</v>
      </c>
      <c r="G335">
        <v>118818</v>
      </c>
      <c r="H335" t="s">
        <v>20</v>
      </c>
      <c r="I335" s="1">
        <v>43494</v>
      </c>
    </row>
    <row r="336" spans="1:9" x14ac:dyDescent="0.3">
      <c r="A336" t="s">
        <v>693</v>
      </c>
      <c r="B336" t="s">
        <v>694</v>
      </c>
      <c r="C336" t="s">
        <v>17</v>
      </c>
      <c r="D336">
        <v>69</v>
      </c>
      <c r="E336" t="s">
        <v>30</v>
      </c>
      <c r="F336" t="s">
        <v>13</v>
      </c>
      <c r="G336">
        <v>172360</v>
      </c>
      <c r="H336" t="s">
        <v>20</v>
      </c>
      <c r="I336" s="1">
        <v>44573</v>
      </c>
    </row>
    <row r="337" spans="1:9" x14ac:dyDescent="0.3">
      <c r="A337" t="s">
        <v>695</v>
      </c>
      <c r="B337" t="s">
        <v>696</v>
      </c>
      <c r="C337" t="s">
        <v>17</v>
      </c>
      <c r="D337">
        <v>34</v>
      </c>
      <c r="E337" t="s">
        <v>34</v>
      </c>
      <c r="F337" t="s">
        <v>27</v>
      </c>
      <c r="G337">
        <v>115081</v>
      </c>
      <c r="H337" t="s">
        <v>24</v>
      </c>
      <c r="I337" s="1">
        <v>42817</v>
      </c>
    </row>
    <row r="338" spans="1:9" x14ac:dyDescent="0.3">
      <c r="A338" t="s">
        <v>697</v>
      </c>
      <c r="B338" t="s">
        <v>698</v>
      </c>
      <c r="C338" t="s">
        <v>11</v>
      </c>
      <c r="D338">
        <v>24</v>
      </c>
      <c r="E338" t="s">
        <v>30</v>
      </c>
      <c r="F338" t="s">
        <v>13</v>
      </c>
      <c r="G338">
        <v>56877</v>
      </c>
      <c r="H338" t="s">
        <v>20</v>
      </c>
      <c r="I338" s="1">
        <v>45877</v>
      </c>
    </row>
    <row r="339" spans="1:9" x14ac:dyDescent="0.3">
      <c r="A339" t="s">
        <v>699</v>
      </c>
      <c r="B339" t="s">
        <v>700</v>
      </c>
      <c r="C339" t="s">
        <v>11</v>
      </c>
      <c r="D339">
        <v>42</v>
      </c>
      <c r="E339" t="s">
        <v>12</v>
      </c>
      <c r="F339" t="s">
        <v>23</v>
      </c>
      <c r="G339">
        <v>131562</v>
      </c>
      <c r="H339" t="s">
        <v>14</v>
      </c>
      <c r="I339" s="1">
        <v>44868</v>
      </c>
    </row>
    <row r="340" spans="1:9" x14ac:dyDescent="0.3">
      <c r="A340" t="s">
        <v>701</v>
      </c>
      <c r="B340" t="s">
        <v>702</v>
      </c>
      <c r="C340" t="s">
        <v>17</v>
      </c>
      <c r="D340">
        <v>62</v>
      </c>
      <c r="E340" t="s">
        <v>18</v>
      </c>
      <c r="F340" t="s">
        <v>37</v>
      </c>
      <c r="G340">
        <v>166385</v>
      </c>
      <c r="H340" t="s">
        <v>20</v>
      </c>
      <c r="I340" s="1">
        <v>43280</v>
      </c>
    </row>
    <row r="341" spans="1:9" x14ac:dyDescent="0.3">
      <c r="A341" t="s">
        <v>703</v>
      </c>
      <c r="B341" t="s">
        <v>704</v>
      </c>
      <c r="C341" t="s">
        <v>17</v>
      </c>
      <c r="D341">
        <v>21</v>
      </c>
      <c r="E341" t="s">
        <v>12</v>
      </c>
      <c r="F341" t="s">
        <v>23</v>
      </c>
      <c r="G341">
        <v>92715</v>
      </c>
      <c r="H341" t="s">
        <v>14</v>
      </c>
      <c r="I341" s="1">
        <v>42927</v>
      </c>
    </row>
    <row r="342" spans="1:9" x14ac:dyDescent="0.3">
      <c r="A342" t="s">
        <v>705</v>
      </c>
      <c r="B342" t="s">
        <v>706</v>
      </c>
      <c r="C342" t="s">
        <v>11</v>
      </c>
      <c r="D342">
        <v>53</v>
      </c>
      <c r="E342" t="s">
        <v>12</v>
      </c>
      <c r="F342" t="s">
        <v>23</v>
      </c>
      <c r="G342">
        <v>161398</v>
      </c>
      <c r="H342" t="s">
        <v>14</v>
      </c>
      <c r="I342" s="1">
        <v>43009</v>
      </c>
    </row>
    <row r="343" spans="1:9" x14ac:dyDescent="0.3">
      <c r="A343" t="s">
        <v>707</v>
      </c>
      <c r="B343" t="s">
        <v>708</v>
      </c>
      <c r="C343" t="s">
        <v>17</v>
      </c>
      <c r="D343">
        <v>23</v>
      </c>
      <c r="E343" t="s">
        <v>12</v>
      </c>
      <c r="F343" t="s">
        <v>27</v>
      </c>
      <c r="G343">
        <v>130091</v>
      </c>
      <c r="H343" t="s">
        <v>20</v>
      </c>
      <c r="I343" s="1">
        <v>45017</v>
      </c>
    </row>
    <row r="344" spans="1:9" x14ac:dyDescent="0.3">
      <c r="A344" t="s">
        <v>709</v>
      </c>
      <c r="B344" t="s">
        <v>710</v>
      </c>
      <c r="C344" t="s">
        <v>11</v>
      </c>
      <c r="D344">
        <v>48</v>
      </c>
      <c r="E344" t="s">
        <v>12</v>
      </c>
      <c r="F344" t="s">
        <v>37</v>
      </c>
      <c r="G344">
        <v>152632</v>
      </c>
      <c r="H344" t="s">
        <v>14</v>
      </c>
      <c r="I344" s="1">
        <v>43154</v>
      </c>
    </row>
    <row r="345" spans="1:9" x14ac:dyDescent="0.3">
      <c r="A345" t="s">
        <v>711</v>
      </c>
      <c r="B345" t="s">
        <v>712</v>
      </c>
      <c r="C345" t="s">
        <v>17</v>
      </c>
      <c r="D345">
        <v>36</v>
      </c>
      <c r="E345" t="s">
        <v>18</v>
      </c>
      <c r="F345" t="s">
        <v>37</v>
      </c>
      <c r="G345">
        <v>99148</v>
      </c>
      <c r="H345" t="s">
        <v>24</v>
      </c>
      <c r="I345" s="1">
        <v>43052</v>
      </c>
    </row>
    <row r="346" spans="1:9" x14ac:dyDescent="0.3">
      <c r="A346" t="s">
        <v>713</v>
      </c>
      <c r="B346" t="s">
        <v>714</v>
      </c>
      <c r="C346" t="s">
        <v>11</v>
      </c>
      <c r="D346">
        <v>61</v>
      </c>
      <c r="E346" t="s">
        <v>18</v>
      </c>
      <c r="F346" t="s">
        <v>37</v>
      </c>
      <c r="G346">
        <v>103186</v>
      </c>
      <c r="H346" t="s">
        <v>14</v>
      </c>
      <c r="I346" s="1">
        <v>43704</v>
      </c>
    </row>
    <row r="347" spans="1:9" x14ac:dyDescent="0.3">
      <c r="A347" t="s">
        <v>715</v>
      </c>
      <c r="B347" t="s">
        <v>716</v>
      </c>
      <c r="C347" t="s">
        <v>11</v>
      </c>
      <c r="D347">
        <v>71</v>
      </c>
      <c r="E347" t="s">
        <v>30</v>
      </c>
      <c r="F347" t="s">
        <v>37</v>
      </c>
      <c r="G347">
        <v>177817</v>
      </c>
      <c r="H347" t="s">
        <v>20</v>
      </c>
      <c r="I347" s="1">
        <v>44709</v>
      </c>
    </row>
    <row r="348" spans="1:9" x14ac:dyDescent="0.3">
      <c r="A348" t="s">
        <v>717</v>
      </c>
      <c r="B348" t="s">
        <v>718</v>
      </c>
      <c r="C348" t="s">
        <v>11</v>
      </c>
      <c r="D348">
        <v>56</v>
      </c>
      <c r="E348" t="s">
        <v>34</v>
      </c>
      <c r="F348" t="s">
        <v>37</v>
      </c>
      <c r="G348">
        <v>182962</v>
      </c>
      <c r="H348" t="s">
        <v>20</v>
      </c>
      <c r="I348" s="1">
        <v>45560</v>
      </c>
    </row>
    <row r="349" spans="1:9" x14ac:dyDescent="0.3">
      <c r="A349" t="s">
        <v>719</v>
      </c>
      <c r="B349" t="s">
        <v>720</v>
      </c>
      <c r="C349" t="s">
        <v>17</v>
      </c>
      <c r="D349">
        <v>44</v>
      </c>
      <c r="E349" t="s">
        <v>18</v>
      </c>
      <c r="F349" t="s">
        <v>27</v>
      </c>
      <c r="G349">
        <v>171094</v>
      </c>
      <c r="H349" t="s">
        <v>20</v>
      </c>
      <c r="I349" s="1">
        <v>43485</v>
      </c>
    </row>
    <row r="350" spans="1:9" x14ac:dyDescent="0.3">
      <c r="A350" t="s">
        <v>721</v>
      </c>
      <c r="B350" t="s">
        <v>722</v>
      </c>
      <c r="C350" t="s">
        <v>17</v>
      </c>
      <c r="D350">
        <v>27</v>
      </c>
      <c r="E350" t="s">
        <v>18</v>
      </c>
      <c r="F350" t="s">
        <v>13</v>
      </c>
      <c r="G350">
        <v>143629</v>
      </c>
      <c r="H350" t="s">
        <v>20</v>
      </c>
      <c r="I350" s="1">
        <v>45888</v>
      </c>
    </row>
    <row r="351" spans="1:9" x14ac:dyDescent="0.3">
      <c r="A351" t="s">
        <v>723</v>
      </c>
      <c r="B351" t="s">
        <v>724</v>
      </c>
      <c r="C351" t="s">
        <v>11</v>
      </c>
      <c r="D351">
        <v>43</v>
      </c>
      <c r="E351" t="s">
        <v>34</v>
      </c>
      <c r="F351" t="s">
        <v>23</v>
      </c>
      <c r="G351">
        <v>90316</v>
      </c>
      <c r="H351" t="s">
        <v>20</v>
      </c>
      <c r="I351" s="1">
        <v>44926</v>
      </c>
    </row>
    <row r="352" spans="1:9" x14ac:dyDescent="0.3">
      <c r="A352" t="s">
        <v>725</v>
      </c>
      <c r="B352" t="s">
        <v>726</v>
      </c>
      <c r="C352" t="s">
        <v>17</v>
      </c>
      <c r="D352">
        <v>36</v>
      </c>
      <c r="E352" t="s">
        <v>18</v>
      </c>
      <c r="F352" t="s">
        <v>37</v>
      </c>
      <c r="G352">
        <v>48380</v>
      </c>
      <c r="H352" t="s">
        <v>14</v>
      </c>
      <c r="I352" s="1">
        <v>44241</v>
      </c>
    </row>
    <row r="353" spans="1:9" x14ac:dyDescent="0.3">
      <c r="A353" t="s">
        <v>727</v>
      </c>
      <c r="B353" t="s">
        <v>728</v>
      </c>
      <c r="C353" t="s">
        <v>11</v>
      </c>
      <c r="D353">
        <v>56</v>
      </c>
      <c r="E353" t="s">
        <v>12</v>
      </c>
      <c r="F353" t="s">
        <v>42</v>
      </c>
      <c r="G353">
        <v>130198</v>
      </c>
      <c r="H353" t="s">
        <v>14</v>
      </c>
      <c r="I353" s="1">
        <v>43973</v>
      </c>
    </row>
    <row r="354" spans="1:9" x14ac:dyDescent="0.3">
      <c r="A354" t="s">
        <v>729</v>
      </c>
      <c r="B354" t="s">
        <v>730</v>
      </c>
      <c r="C354" t="s">
        <v>11</v>
      </c>
      <c r="D354">
        <v>20</v>
      </c>
      <c r="E354" t="s">
        <v>12</v>
      </c>
      <c r="F354" t="s">
        <v>13</v>
      </c>
      <c r="G354">
        <v>22356</v>
      </c>
      <c r="H354" t="s">
        <v>14</v>
      </c>
      <c r="I354" s="1">
        <v>43727</v>
      </c>
    </row>
    <row r="355" spans="1:9" x14ac:dyDescent="0.3">
      <c r="A355" t="s">
        <v>731</v>
      </c>
      <c r="B355" t="s">
        <v>732</v>
      </c>
      <c r="C355" t="s">
        <v>17</v>
      </c>
      <c r="D355">
        <v>62</v>
      </c>
      <c r="E355" t="s">
        <v>34</v>
      </c>
      <c r="F355" t="s">
        <v>13</v>
      </c>
      <c r="G355">
        <v>90326</v>
      </c>
      <c r="H355" t="s">
        <v>20</v>
      </c>
      <c r="I355" s="1">
        <v>43758</v>
      </c>
    </row>
    <row r="356" spans="1:9" x14ac:dyDescent="0.3">
      <c r="A356" t="s">
        <v>733</v>
      </c>
      <c r="B356" t="s">
        <v>734</v>
      </c>
      <c r="C356" t="s">
        <v>17</v>
      </c>
      <c r="D356">
        <v>30</v>
      </c>
      <c r="E356" t="s">
        <v>30</v>
      </c>
      <c r="F356" t="s">
        <v>23</v>
      </c>
      <c r="G356">
        <v>112447</v>
      </c>
      <c r="H356" t="s">
        <v>14</v>
      </c>
      <c r="I356" s="1">
        <v>43847</v>
      </c>
    </row>
    <row r="357" spans="1:9" x14ac:dyDescent="0.3">
      <c r="A357" t="s">
        <v>735</v>
      </c>
      <c r="B357" t="s">
        <v>736</v>
      </c>
      <c r="C357" t="s">
        <v>11</v>
      </c>
      <c r="D357">
        <v>67</v>
      </c>
      <c r="E357" t="s">
        <v>30</v>
      </c>
      <c r="F357" t="s">
        <v>27</v>
      </c>
      <c r="G357">
        <v>134994</v>
      </c>
      <c r="H357" t="s">
        <v>20</v>
      </c>
      <c r="I357" s="1">
        <v>43374</v>
      </c>
    </row>
    <row r="358" spans="1:9" x14ac:dyDescent="0.3">
      <c r="A358" t="s">
        <v>737</v>
      </c>
      <c r="B358" t="s">
        <v>738</v>
      </c>
      <c r="C358" t="s">
        <v>17</v>
      </c>
      <c r="D358">
        <v>45</v>
      </c>
      <c r="E358" t="s">
        <v>34</v>
      </c>
      <c r="F358" t="s">
        <v>19</v>
      </c>
      <c r="G358">
        <v>40049</v>
      </c>
      <c r="H358" t="s">
        <v>14</v>
      </c>
      <c r="I358" s="1">
        <v>44190</v>
      </c>
    </row>
    <row r="359" spans="1:9" x14ac:dyDescent="0.3">
      <c r="A359" t="s">
        <v>739</v>
      </c>
      <c r="B359" t="s">
        <v>740</v>
      </c>
      <c r="C359" t="s">
        <v>17</v>
      </c>
      <c r="D359">
        <v>37</v>
      </c>
      <c r="E359" t="s">
        <v>34</v>
      </c>
      <c r="F359" t="s">
        <v>19</v>
      </c>
      <c r="G359">
        <v>125361</v>
      </c>
      <c r="H359" t="s">
        <v>14</v>
      </c>
      <c r="I359" s="1">
        <v>44342</v>
      </c>
    </row>
    <row r="360" spans="1:9" x14ac:dyDescent="0.3">
      <c r="A360" t="s">
        <v>741</v>
      </c>
      <c r="B360" t="s">
        <v>742</v>
      </c>
      <c r="C360" t="s">
        <v>11</v>
      </c>
      <c r="D360">
        <v>45</v>
      </c>
      <c r="E360" t="s">
        <v>12</v>
      </c>
      <c r="F360" t="s">
        <v>13</v>
      </c>
      <c r="G360">
        <v>36082</v>
      </c>
      <c r="H360" t="s">
        <v>20</v>
      </c>
      <c r="I360" s="1">
        <v>44954</v>
      </c>
    </row>
    <row r="361" spans="1:9" x14ac:dyDescent="0.3">
      <c r="A361" t="s">
        <v>743</v>
      </c>
      <c r="B361" t="s">
        <v>744</v>
      </c>
      <c r="C361" t="s">
        <v>11</v>
      </c>
      <c r="D361">
        <v>25</v>
      </c>
      <c r="E361" t="s">
        <v>30</v>
      </c>
      <c r="F361" t="s">
        <v>31</v>
      </c>
      <c r="G361">
        <v>20661</v>
      </c>
      <c r="H361" t="s">
        <v>14</v>
      </c>
      <c r="I361" s="1">
        <v>44819</v>
      </c>
    </row>
    <row r="362" spans="1:9" x14ac:dyDescent="0.3">
      <c r="A362" t="s">
        <v>745</v>
      </c>
      <c r="B362" t="s">
        <v>746</v>
      </c>
      <c r="C362" t="s">
        <v>17</v>
      </c>
      <c r="D362">
        <v>58</v>
      </c>
      <c r="E362" t="s">
        <v>18</v>
      </c>
      <c r="F362" t="s">
        <v>31</v>
      </c>
      <c r="G362">
        <v>188484</v>
      </c>
      <c r="H362" t="s">
        <v>14</v>
      </c>
      <c r="I362" s="1">
        <v>45392</v>
      </c>
    </row>
    <row r="363" spans="1:9" x14ac:dyDescent="0.3">
      <c r="A363" t="s">
        <v>747</v>
      </c>
      <c r="B363" t="s">
        <v>748</v>
      </c>
      <c r="C363" t="s">
        <v>11</v>
      </c>
      <c r="D363">
        <v>56</v>
      </c>
      <c r="E363" t="s">
        <v>12</v>
      </c>
      <c r="F363" t="s">
        <v>23</v>
      </c>
      <c r="G363">
        <v>22920</v>
      </c>
      <c r="H363" t="s">
        <v>14</v>
      </c>
      <c r="I363" s="1">
        <v>42295</v>
      </c>
    </row>
    <row r="364" spans="1:9" x14ac:dyDescent="0.3">
      <c r="A364" t="s">
        <v>749</v>
      </c>
      <c r="B364" t="s">
        <v>750</v>
      </c>
      <c r="C364" t="s">
        <v>11</v>
      </c>
      <c r="D364">
        <v>18</v>
      </c>
      <c r="E364" t="s">
        <v>34</v>
      </c>
      <c r="F364" t="s">
        <v>19</v>
      </c>
      <c r="G364">
        <v>99561</v>
      </c>
      <c r="H364" t="s">
        <v>24</v>
      </c>
      <c r="I364" s="1">
        <v>42581</v>
      </c>
    </row>
    <row r="365" spans="1:9" x14ac:dyDescent="0.3">
      <c r="A365" t="s">
        <v>751</v>
      </c>
      <c r="B365" t="s">
        <v>752</v>
      </c>
      <c r="C365" t="s">
        <v>17</v>
      </c>
      <c r="D365">
        <v>20</v>
      </c>
      <c r="E365" t="s">
        <v>30</v>
      </c>
      <c r="F365" t="s">
        <v>13</v>
      </c>
      <c r="G365">
        <v>28946</v>
      </c>
      <c r="H365" t="s">
        <v>20</v>
      </c>
      <c r="I365" s="1">
        <v>42442</v>
      </c>
    </row>
    <row r="366" spans="1:9" x14ac:dyDescent="0.3">
      <c r="A366" t="s">
        <v>753</v>
      </c>
      <c r="B366" t="s">
        <v>754</v>
      </c>
      <c r="C366" t="s">
        <v>11</v>
      </c>
      <c r="D366">
        <v>30</v>
      </c>
      <c r="E366" t="s">
        <v>18</v>
      </c>
      <c r="F366" t="s">
        <v>27</v>
      </c>
      <c r="G366">
        <v>196572</v>
      </c>
      <c r="H366" t="s">
        <v>14</v>
      </c>
      <c r="I366" s="1">
        <v>45607</v>
      </c>
    </row>
    <row r="367" spans="1:9" x14ac:dyDescent="0.3">
      <c r="A367" t="s">
        <v>755</v>
      </c>
      <c r="B367" t="s">
        <v>756</v>
      </c>
      <c r="C367" t="s">
        <v>11</v>
      </c>
      <c r="D367">
        <v>45</v>
      </c>
      <c r="E367" t="s">
        <v>18</v>
      </c>
      <c r="F367" t="s">
        <v>19</v>
      </c>
      <c r="G367">
        <v>36309</v>
      </c>
      <c r="H367" t="s">
        <v>14</v>
      </c>
      <c r="I367" s="1">
        <v>43773</v>
      </c>
    </row>
    <row r="368" spans="1:9" x14ac:dyDescent="0.3">
      <c r="A368" t="s">
        <v>757</v>
      </c>
      <c r="B368" t="s">
        <v>758</v>
      </c>
      <c r="C368" t="s">
        <v>17</v>
      </c>
      <c r="D368">
        <v>74</v>
      </c>
      <c r="E368" t="s">
        <v>12</v>
      </c>
      <c r="F368" t="s">
        <v>13</v>
      </c>
      <c r="G368">
        <v>75230</v>
      </c>
      <c r="H368" t="s">
        <v>14</v>
      </c>
      <c r="I368" s="1">
        <v>43795</v>
      </c>
    </row>
    <row r="369" spans="1:9" x14ac:dyDescent="0.3">
      <c r="A369" t="s">
        <v>759</v>
      </c>
      <c r="B369" t="s">
        <v>760</v>
      </c>
      <c r="C369" t="s">
        <v>17</v>
      </c>
      <c r="D369">
        <v>66</v>
      </c>
      <c r="E369" t="s">
        <v>30</v>
      </c>
      <c r="F369" t="s">
        <v>13</v>
      </c>
      <c r="G369">
        <v>131822</v>
      </c>
      <c r="H369" t="s">
        <v>20</v>
      </c>
      <c r="I369" s="1">
        <v>43811</v>
      </c>
    </row>
    <row r="370" spans="1:9" x14ac:dyDescent="0.3">
      <c r="A370" t="s">
        <v>761</v>
      </c>
      <c r="B370" t="s">
        <v>762</v>
      </c>
      <c r="C370" t="s">
        <v>11</v>
      </c>
      <c r="D370">
        <v>42</v>
      </c>
      <c r="E370" t="s">
        <v>30</v>
      </c>
      <c r="F370" t="s">
        <v>37</v>
      </c>
      <c r="G370">
        <v>181099</v>
      </c>
      <c r="H370" t="s">
        <v>20</v>
      </c>
      <c r="I370" s="1">
        <v>44954</v>
      </c>
    </row>
    <row r="371" spans="1:9" x14ac:dyDescent="0.3">
      <c r="A371" t="s">
        <v>763</v>
      </c>
      <c r="B371" t="s">
        <v>764</v>
      </c>
      <c r="C371" t="s">
        <v>11</v>
      </c>
      <c r="D371">
        <v>73</v>
      </c>
      <c r="E371" t="s">
        <v>34</v>
      </c>
      <c r="F371" t="s">
        <v>27</v>
      </c>
      <c r="G371">
        <v>132340</v>
      </c>
      <c r="H371" t="s">
        <v>14</v>
      </c>
      <c r="I371" s="1">
        <v>42545</v>
      </c>
    </row>
    <row r="372" spans="1:9" x14ac:dyDescent="0.3">
      <c r="A372" t="s">
        <v>765</v>
      </c>
      <c r="B372" t="s">
        <v>766</v>
      </c>
      <c r="C372" t="s">
        <v>17</v>
      </c>
      <c r="D372">
        <v>50</v>
      </c>
      <c r="E372" t="s">
        <v>30</v>
      </c>
      <c r="F372" t="s">
        <v>37</v>
      </c>
      <c r="G372">
        <v>79321</v>
      </c>
      <c r="H372" t="s">
        <v>14</v>
      </c>
      <c r="I372" s="1">
        <v>43047</v>
      </c>
    </row>
    <row r="373" spans="1:9" x14ac:dyDescent="0.3">
      <c r="A373" t="s">
        <v>767</v>
      </c>
      <c r="B373" t="s">
        <v>768</v>
      </c>
      <c r="C373" t="s">
        <v>17</v>
      </c>
      <c r="D373">
        <v>55</v>
      </c>
      <c r="E373" t="s">
        <v>30</v>
      </c>
      <c r="F373" t="s">
        <v>23</v>
      </c>
      <c r="G373">
        <v>152028</v>
      </c>
      <c r="H373" t="s">
        <v>14</v>
      </c>
      <c r="I373" s="1">
        <v>44745</v>
      </c>
    </row>
    <row r="374" spans="1:9" x14ac:dyDescent="0.3">
      <c r="A374" t="s">
        <v>769</v>
      </c>
      <c r="B374" t="s">
        <v>770</v>
      </c>
      <c r="C374" t="s">
        <v>17</v>
      </c>
      <c r="D374">
        <v>70</v>
      </c>
      <c r="E374" t="s">
        <v>12</v>
      </c>
      <c r="F374" t="s">
        <v>37</v>
      </c>
      <c r="G374">
        <v>94131</v>
      </c>
      <c r="H374" t="s">
        <v>20</v>
      </c>
      <c r="I374" s="1">
        <v>45501</v>
      </c>
    </row>
    <row r="375" spans="1:9" x14ac:dyDescent="0.3">
      <c r="A375" t="s">
        <v>771</v>
      </c>
      <c r="B375" t="s">
        <v>772</v>
      </c>
      <c r="C375" t="s">
        <v>17</v>
      </c>
      <c r="D375">
        <v>23</v>
      </c>
      <c r="E375" t="s">
        <v>30</v>
      </c>
      <c r="F375" t="s">
        <v>42</v>
      </c>
      <c r="G375">
        <v>198980</v>
      </c>
      <c r="H375" t="s">
        <v>20</v>
      </c>
      <c r="I375" s="1">
        <v>43750</v>
      </c>
    </row>
    <row r="376" spans="1:9" x14ac:dyDescent="0.3">
      <c r="A376" t="s">
        <v>773</v>
      </c>
      <c r="B376" t="s">
        <v>774</v>
      </c>
      <c r="C376" t="s">
        <v>11</v>
      </c>
      <c r="D376">
        <v>61</v>
      </c>
      <c r="E376" t="s">
        <v>18</v>
      </c>
      <c r="F376" t="s">
        <v>37</v>
      </c>
      <c r="G376">
        <v>45963</v>
      </c>
      <c r="H376" t="s">
        <v>14</v>
      </c>
      <c r="I376" s="1">
        <v>44798</v>
      </c>
    </row>
    <row r="377" spans="1:9" x14ac:dyDescent="0.3">
      <c r="A377" t="s">
        <v>775</v>
      </c>
      <c r="B377" t="s">
        <v>776</v>
      </c>
      <c r="C377" t="s">
        <v>17</v>
      </c>
      <c r="D377">
        <v>62</v>
      </c>
      <c r="E377" t="s">
        <v>12</v>
      </c>
      <c r="F377" t="s">
        <v>42</v>
      </c>
      <c r="G377">
        <v>121757</v>
      </c>
      <c r="H377" t="s">
        <v>14</v>
      </c>
      <c r="I377" s="1">
        <v>42284</v>
      </c>
    </row>
    <row r="378" spans="1:9" x14ac:dyDescent="0.3">
      <c r="A378" t="s">
        <v>777</v>
      </c>
      <c r="B378" t="s">
        <v>778</v>
      </c>
      <c r="C378" t="s">
        <v>17</v>
      </c>
      <c r="D378">
        <v>49</v>
      </c>
      <c r="E378" t="s">
        <v>12</v>
      </c>
      <c r="F378" t="s">
        <v>19</v>
      </c>
      <c r="G378">
        <v>190515</v>
      </c>
      <c r="H378" t="s">
        <v>14</v>
      </c>
      <c r="I378" s="1">
        <v>44918</v>
      </c>
    </row>
    <row r="379" spans="1:9" x14ac:dyDescent="0.3">
      <c r="A379" t="s">
        <v>779</v>
      </c>
      <c r="B379" t="s">
        <v>780</v>
      </c>
      <c r="C379" t="s">
        <v>11</v>
      </c>
      <c r="D379">
        <v>62</v>
      </c>
      <c r="E379" t="s">
        <v>34</v>
      </c>
      <c r="F379" t="s">
        <v>31</v>
      </c>
      <c r="G379">
        <v>119259</v>
      </c>
      <c r="H379" t="s">
        <v>24</v>
      </c>
      <c r="I379" s="1">
        <v>42731</v>
      </c>
    </row>
    <row r="380" spans="1:9" x14ac:dyDescent="0.3">
      <c r="A380" t="s">
        <v>781</v>
      </c>
      <c r="B380" t="s">
        <v>782</v>
      </c>
      <c r="C380" t="s">
        <v>17</v>
      </c>
      <c r="D380">
        <v>64</v>
      </c>
      <c r="E380" t="s">
        <v>30</v>
      </c>
      <c r="F380" t="s">
        <v>13</v>
      </c>
      <c r="G380">
        <v>59063</v>
      </c>
      <c r="H380" t="s">
        <v>14</v>
      </c>
      <c r="I380" s="1">
        <v>44972</v>
      </c>
    </row>
    <row r="381" spans="1:9" x14ac:dyDescent="0.3">
      <c r="A381" t="s">
        <v>783</v>
      </c>
      <c r="B381" t="s">
        <v>784</v>
      </c>
      <c r="C381" t="s">
        <v>11</v>
      </c>
      <c r="D381">
        <v>38</v>
      </c>
      <c r="E381" t="s">
        <v>34</v>
      </c>
      <c r="F381" t="s">
        <v>42</v>
      </c>
      <c r="G381">
        <v>134225</v>
      </c>
      <c r="H381" t="s">
        <v>20</v>
      </c>
      <c r="I381" s="1">
        <v>44538</v>
      </c>
    </row>
    <row r="382" spans="1:9" x14ac:dyDescent="0.3">
      <c r="A382" t="s">
        <v>785</v>
      </c>
      <c r="B382" t="s">
        <v>786</v>
      </c>
      <c r="C382" t="s">
        <v>17</v>
      </c>
      <c r="D382">
        <v>33</v>
      </c>
      <c r="E382" t="s">
        <v>18</v>
      </c>
      <c r="F382" t="s">
        <v>27</v>
      </c>
      <c r="G382">
        <v>136400</v>
      </c>
      <c r="H382" t="s">
        <v>20</v>
      </c>
      <c r="I382" s="1">
        <v>43463</v>
      </c>
    </row>
    <row r="383" spans="1:9" x14ac:dyDescent="0.3">
      <c r="A383" t="s">
        <v>787</v>
      </c>
      <c r="B383" t="s">
        <v>788</v>
      </c>
      <c r="C383" t="s">
        <v>17</v>
      </c>
      <c r="D383">
        <v>71</v>
      </c>
      <c r="E383" t="s">
        <v>12</v>
      </c>
      <c r="F383" t="s">
        <v>37</v>
      </c>
      <c r="G383">
        <v>100818</v>
      </c>
      <c r="H383" t="s">
        <v>14</v>
      </c>
      <c r="I383" s="1">
        <v>43995</v>
      </c>
    </row>
    <row r="384" spans="1:9" x14ac:dyDescent="0.3">
      <c r="A384" t="s">
        <v>789</v>
      </c>
      <c r="B384" t="s">
        <v>790</v>
      </c>
      <c r="C384" t="s">
        <v>17</v>
      </c>
      <c r="D384">
        <v>38</v>
      </c>
      <c r="E384" t="s">
        <v>12</v>
      </c>
      <c r="F384" t="s">
        <v>42</v>
      </c>
      <c r="G384">
        <v>24703</v>
      </c>
      <c r="H384" t="s">
        <v>14</v>
      </c>
      <c r="I384" s="1">
        <v>44896</v>
      </c>
    </row>
    <row r="385" spans="1:9" x14ac:dyDescent="0.3">
      <c r="A385" t="s">
        <v>791</v>
      </c>
      <c r="B385" t="s">
        <v>792</v>
      </c>
      <c r="C385" t="s">
        <v>11</v>
      </c>
      <c r="D385">
        <v>28</v>
      </c>
      <c r="E385" t="s">
        <v>12</v>
      </c>
      <c r="F385" t="s">
        <v>27</v>
      </c>
      <c r="G385">
        <v>92099</v>
      </c>
      <c r="H385" t="s">
        <v>14</v>
      </c>
      <c r="I385" s="1">
        <v>44410</v>
      </c>
    </row>
    <row r="386" spans="1:9" x14ac:dyDescent="0.3">
      <c r="A386" t="s">
        <v>793</v>
      </c>
      <c r="B386" t="s">
        <v>794</v>
      </c>
      <c r="C386" t="s">
        <v>11</v>
      </c>
      <c r="D386">
        <v>54</v>
      </c>
      <c r="E386" t="s">
        <v>18</v>
      </c>
      <c r="F386" t="s">
        <v>31</v>
      </c>
      <c r="G386">
        <v>176921</v>
      </c>
      <c r="H386" t="s">
        <v>20</v>
      </c>
      <c r="I386" s="1">
        <v>44889</v>
      </c>
    </row>
    <row r="387" spans="1:9" x14ac:dyDescent="0.3">
      <c r="A387" t="s">
        <v>795</v>
      </c>
      <c r="B387" t="s">
        <v>796</v>
      </c>
      <c r="C387" t="s">
        <v>17</v>
      </c>
      <c r="D387">
        <v>53</v>
      </c>
      <c r="E387" t="s">
        <v>18</v>
      </c>
      <c r="F387" t="s">
        <v>31</v>
      </c>
      <c r="G387">
        <v>182932</v>
      </c>
      <c r="H387" t="s">
        <v>20</v>
      </c>
      <c r="I387" s="1">
        <v>45157</v>
      </c>
    </row>
    <row r="388" spans="1:9" x14ac:dyDescent="0.3">
      <c r="A388" t="s">
        <v>797</v>
      </c>
      <c r="B388" t="s">
        <v>798</v>
      </c>
      <c r="C388" t="s">
        <v>11</v>
      </c>
      <c r="D388">
        <v>52</v>
      </c>
      <c r="E388" t="s">
        <v>34</v>
      </c>
      <c r="F388" t="s">
        <v>37</v>
      </c>
      <c r="G388">
        <v>51585</v>
      </c>
      <c r="H388" t="s">
        <v>20</v>
      </c>
      <c r="I388" s="1">
        <v>43577</v>
      </c>
    </row>
    <row r="389" spans="1:9" x14ac:dyDescent="0.3">
      <c r="A389" t="s">
        <v>799</v>
      </c>
      <c r="B389" t="s">
        <v>800</v>
      </c>
      <c r="C389" t="s">
        <v>11</v>
      </c>
      <c r="D389">
        <v>36</v>
      </c>
      <c r="E389" t="s">
        <v>34</v>
      </c>
      <c r="F389" t="s">
        <v>23</v>
      </c>
      <c r="G389">
        <v>173087</v>
      </c>
      <c r="H389" t="s">
        <v>14</v>
      </c>
      <c r="I389" s="1">
        <v>43947</v>
      </c>
    </row>
    <row r="390" spans="1:9" x14ac:dyDescent="0.3">
      <c r="A390" t="s">
        <v>801</v>
      </c>
      <c r="B390" t="s">
        <v>802</v>
      </c>
      <c r="C390" t="s">
        <v>11</v>
      </c>
      <c r="D390">
        <v>37</v>
      </c>
      <c r="E390" t="s">
        <v>34</v>
      </c>
      <c r="F390" t="s">
        <v>37</v>
      </c>
      <c r="G390">
        <v>63585</v>
      </c>
      <c r="H390" t="s">
        <v>14</v>
      </c>
      <c r="I390" s="1">
        <v>42757</v>
      </c>
    </row>
    <row r="391" spans="1:9" x14ac:dyDescent="0.3">
      <c r="A391" t="s">
        <v>803</v>
      </c>
      <c r="B391" t="s">
        <v>804</v>
      </c>
      <c r="C391" t="s">
        <v>11</v>
      </c>
      <c r="D391">
        <v>74</v>
      </c>
      <c r="E391" t="s">
        <v>30</v>
      </c>
      <c r="F391" t="s">
        <v>19</v>
      </c>
      <c r="G391">
        <v>46958</v>
      </c>
      <c r="H391" t="s">
        <v>24</v>
      </c>
      <c r="I391" s="1">
        <v>44220</v>
      </c>
    </row>
    <row r="392" spans="1:9" x14ac:dyDescent="0.3">
      <c r="A392" t="s">
        <v>805</v>
      </c>
      <c r="B392" t="s">
        <v>806</v>
      </c>
      <c r="C392" t="s">
        <v>11</v>
      </c>
      <c r="D392">
        <v>35</v>
      </c>
      <c r="E392" t="s">
        <v>12</v>
      </c>
      <c r="F392" t="s">
        <v>42</v>
      </c>
      <c r="G392">
        <v>46017</v>
      </c>
      <c r="H392" t="s">
        <v>20</v>
      </c>
      <c r="I392" s="1">
        <v>42931</v>
      </c>
    </row>
    <row r="393" spans="1:9" x14ac:dyDescent="0.3">
      <c r="A393" t="s">
        <v>807</v>
      </c>
      <c r="B393" t="s">
        <v>808</v>
      </c>
      <c r="C393" t="s">
        <v>11</v>
      </c>
      <c r="D393">
        <v>64</v>
      </c>
      <c r="E393" t="s">
        <v>12</v>
      </c>
      <c r="F393" t="s">
        <v>13</v>
      </c>
      <c r="G393">
        <v>144677</v>
      </c>
      <c r="H393" t="s">
        <v>14</v>
      </c>
      <c r="I393" s="1">
        <v>43422</v>
      </c>
    </row>
    <row r="394" spans="1:9" x14ac:dyDescent="0.3">
      <c r="A394" t="s">
        <v>809</v>
      </c>
      <c r="B394" t="s">
        <v>810</v>
      </c>
      <c r="C394" t="s">
        <v>17</v>
      </c>
      <c r="D394">
        <v>58</v>
      </c>
      <c r="E394" t="s">
        <v>34</v>
      </c>
      <c r="F394" t="s">
        <v>23</v>
      </c>
      <c r="G394">
        <v>196422</v>
      </c>
      <c r="H394" t="s">
        <v>24</v>
      </c>
      <c r="I394" s="1">
        <v>44545</v>
      </c>
    </row>
    <row r="395" spans="1:9" x14ac:dyDescent="0.3">
      <c r="A395" t="s">
        <v>811</v>
      </c>
      <c r="B395" t="s">
        <v>812</v>
      </c>
      <c r="C395" t="s">
        <v>17</v>
      </c>
      <c r="D395">
        <v>66</v>
      </c>
      <c r="E395" t="s">
        <v>12</v>
      </c>
      <c r="F395" t="s">
        <v>37</v>
      </c>
      <c r="G395">
        <v>163273</v>
      </c>
      <c r="H395" t="s">
        <v>20</v>
      </c>
      <c r="I395" s="1">
        <v>42384</v>
      </c>
    </row>
    <row r="396" spans="1:9" x14ac:dyDescent="0.3">
      <c r="A396" t="s">
        <v>813</v>
      </c>
      <c r="B396" t="s">
        <v>814</v>
      </c>
      <c r="C396" t="s">
        <v>11</v>
      </c>
      <c r="D396">
        <v>31</v>
      </c>
      <c r="E396" t="s">
        <v>34</v>
      </c>
      <c r="F396" t="s">
        <v>27</v>
      </c>
      <c r="G396">
        <v>49426</v>
      </c>
      <c r="H396" t="s">
        <v>14</v>
      </c>
      <c r="I396" s="1">
        <v>45372</v>
      </c>
    </row>
    <row r="397" spans="1:9" x14ac:dyDescent="0.3">
      <c r="A397" t="s">
        <v>815</v>
      </c>
      <c r="B397" t="s">
        <v>816</v>
      </c>
      <c r="C397" t="s">
        <v>17</v>
      </c>
      <c r="D397">
        <v>32</v>
      </c>
      <c r="E397" t="s">
        <v>30</v>
      </c>
      <c r="F397" t="s">
        <v>23</v>
      </c>
      <c r="G397">
        <v>37778</v>
      </c>
      <c r="H397" t="s">
        <v>20</v>
      </c>
      <c r="I397" s="1">
        <v>44714</v>
      </c>
    </row>
    <row r="398" spans="1:9" x14ac:dyDescent="0.3">
      <c r="A398" t="s">
        <v>817</v>
      </c>
      <c r="B398" t="s">
        <v>818</v>
      </c>
      <c r="C398" t="s">
        <v>17</v>
      </c>
      <c r="D398">
        <v>48</v>
      </c>
      <c r="E398" t="s">
        <v>30</v>
      </c>
      <c r="F398" t="s">
        <v>42</v>
      </c>
      <c r="G398">
        <v>196313</v>
      </c>
      <c r="H398" t="s">
        <v>20</v>
      </c>
      <c r="I398" s="1">
        <v>44176</v>
      </c>
    </row>
    <row r="399" spans="1:9" x14ac:dyDescent="0.3">
      <c r="A399" t="s">
        <v>819</v>
      </c>
      <c r="B399" t="s">
        <v>820</v>
      </c>
      <c r="C399" t="s">
        <v>17</v>
      </c>
      <c r="D399">
        <v>18</v>
      </c>
      <c r="E399" t="s">
        <v>18</v>
      </c>
      <c r="F399" t="s">
        <v>23</v>
      </c>
      <c r="G399">
        <v>62229</v>
      </c>
      <c r="H399" t="s">
        <v>20</v>
      </c>
      <c r="I399" s="1">
        <v>45160</v>
      </c>
    </row>
    <row r="400" spans="1:9" x14ac:dyDescent="0.3">
      <c r="A400" t="s">
        <v>821</v>
      </c>
      <c r="B400" t="s">
        <v>822</v>
      </c>
      <c r="C400" t="s">
        <v>17</v>
      </c>
      <c r="D400">
        <v>70</v>
      </c>
      <c r="E400" t="s">
        <v>30</v>
      </c>
      <c r="F400" t="s">
        <v>42</v>
      </c>
      <c r="G400">
        <v>106652</v>
      </c>
      <c r="H400" t="s">
        <v>14</v>
      </c>
      <c r="I400" s="1">
        <v>45702</v>
      </c>
    </row>
    <row r="401" spans="1:9" x14ac:dyDescent="0.3">
      <c r="A401" t="s">
        <v>823</v>
      </c>
      <c r="B401" t="s">
        <v>824</v>
      </c>
      <c r="C401" t="s">
        <v>11</v>
      </c>
      <c r="D401">
        <v>71</v>
      </c>
      <c r="E401" t="s">
        <v>34</v>
      </c>
      <c r="F401" t="s">
        <v>37</v>
      </c>
      <c r="G401">
        <v>148267</v>
      </c>
      <c r="H401" t="s">
        <v>14</v>
      </c>
      <c r="I401" s="1">
        <v>42789</v>
      </c>
    </row>
    <row r="402" spans="1:9" x14ac:dyDescent="0.3">
      <c r="A402" t="s">
        <v>825</v>
      </c>
      <c r="B402" t="s">
        <v>826</v>
      </c>
      <c r="C402" t="s">
        <v>17</v>
      </c>
      <c r="D402">
        <v>71</v>
      </c>
      <c r="E402" t="s">
        <v>30</v>
      </c>
      <c r="F402" t="s">
        <v>42</v>
      </c>
      <c r="G402">
        <v>199436</v>
      </c>
      <c r="H402" t="s">
        <v>24</v>
      </c>
      <c r="I402" s="1">
        <v>44100</v>
      </c>
    </row>
    <row r="403" spans="1:9" x14ac:dyDescent="0.3">
      <c r="A403" t="s">
        <v>827</v>
      </c>
      <c r="B403" t="s">
        <v>828</v>
      </c>
      <c r="C403" t="s">
        <v>17</v>
      </c>
      <c r="D403">
        <v>20</v>
      </c>
      <c r="E403" t="s">
        <v>18</v>
      </c>
      <c r="F403" t="s">
        <v>23</v>
      </c>
      <c r="G403">
        <v>146503</v>
      </c>
      <c r="H403" t="s">
        <v>14</v>
      </c>
      <c r="I403" s="1">
        <v>44310</v>
      </c>
    </row>
    <row r="404" spans="1:9" x14ac:dyDescent="0.3">
      <c r="A404" t="s">
        <v>829</v>
      </c>
      <c r="B404" t="s">
        <v>830</v>
      </c>
      <c r="C404" t="s">
        <v>11</v>
      </c>
      <c r="D404">
        <v>33</v>
      </c>
      <c r="E404" t="s">
        <v>12</v>
      </c>
      <c r="F404" t="s">
        <v>27</v>
      </c>
      <c r="G404">
        <v>104878</v>
      </c>
      <c r="H404" t="s">
        <v>14</v>
      </c>
      <c r="I404" s="1">
        <v>43523</v>
      </c>
    </row>
    <row r="405" spans="1:9" x14ac:dyDescent="0.3">
      <c r="A405" t="s">
        <v>831</v>
      </c>
      <c r="B405" t="s">
        <v>832</v>
      </c>
      <c r="C405" t="s">
        <v>11</v>
      </c>
      <c r="D405">
        <v>40</v>
      </c>
      <c r="E405" t="s">
        <v>34</v>
      </c>
      <c r="F405" t="s">
        <v>31</v>
      </c>
      <c r="G405">
        <v>77056</v>
      </c>
      <c r="H405" t="s">
        <v>14</v>
      </c>
      <c r="I405" s="1">
        <v>44268</v>
      </c>
    </row>
    <row r="406" spans="1:9" x14ac:dyDescent="0.3">
      <c r="A406" t="s">
        <v>833</v>
      </c>
      <c r="B406" t="s">
        <v>834</v>
      </c>
      <c r="C406" t="s">
        <v>17</v>
      </c>
      <c r="D406">
        <v>74</v>
      </c>
      <c r="E406" t="s">
        <v>12</v>
      </c>
      <c r="F406" t="s">
        <v>23</v>
      </c>
      <c r="G406">
        <v>178562</v>
      </c>
      <c r="H406" t="s">
        <v>14</v>
      </c>
      <c r="I406" s="1">
        <v>45246</v>
      </c>
    </row>
    <row r="407" spans="1:9" x14ac:dyDescent="0.3">
      <c r="A407" t="s">
        <v>835</v>
      </c>
      <c r="B407" t="s">
        <v>836</v>
      </c>
      <c r="C407" t="s">
        <v>17</v>
      </c>
      <c r="D407">
        <v>28</v>
      </c>
      <c r="E407" t="s">
        <v>18</v>
      </c>
      <c r="F407" t="s">
        <v>42</v>
      </c>
      <c r="G407">
        <v>39975</v>
      </c>
      <c r="H407" t="s">
        <v>20</v>
      </c>
      <c r="I407" s="1">
        <v>44902</v>
      </c>
    </row>
    <row r="408" spans="1:9" x14ac:dyDescent="0.3">
      <c r="A408" t="s">
        <v>837</v>
      </c>
      <c r="B408" t="s">
        <v>838</v>
      </c>
      <c r="C408" t="s">
        <v>17</v>
      </c>
      <c r="D408">
        <v>29</v>
      </c>
      <c r="E408" t="s">
        <v>18</v>
      </c>
      <c r="F408" t="s">
        <v>31</v>
      </c>
      <c r="G408">
        <v>177795</v>
      </c>
      <c r="H408" t="s">
        <v>24</v>
      </c>
      <c r="I408" s="1">
        <v>43097</v>
      </c>
    </row>
    <row r="409" spans="1:9" x14ac:dyDescent="0.3">
      <c r="A409" t="s">
        <v>839</v>
      </c>
      <c r="B409" t="s">
        <v>840</v>
      </c>
      <c r="C409" t="s">
        <v>17</v>
      </c>
      <c r="D409">
        <v>27</v>
      </c>
      <c r="E409" t="s">
        <v>18</v>
      </c>
      <c r="F409" t="s">
        <v>42</v>
      </c>
      <c r="G409">
        <v>174351</v>
      </c>
      <c r="H409" t="s">
        <v>14</v>
      </c>
      <c r="I409" s="1">
        <v>42571</v>
      </c>
    </row>
    <row r="410" spans="1:9" x14ac:dyDescent="0.3">
      <c r="A410" t="s">
        <v>841</v>
      </c>
      <c r="B410" t="s">
        <v>842</v>
      </c>
      <c r="C410" t="s">
        <v>17</v>
      </c>
      <c r="D410">
        <v>49</v>
      </c>
      <c r="E410" t="s">
        <v>12</v>
      </c>
      <c r="F410" t="s">
        <v>27</v>
      </c>
      <c r="G410">
        <v>162633</v>
      </c>
      <c r="H410" t="s">
        <v>14</v>
      </c>
      <c r="I410" s="1">
        <v>43721</v>
      </c>
    </row>
    <row r="411" spans="1:9" x14ac:dyDescent="0.3">
      <c r="A411" t="s">
        <v>843</v>
      </c>
      <c r="B411" t="s">
        <v>844</v>
      </c>
      <c r="C411" t="s">
        <v>17</v>
      </c>
      <c r="D411">
        <v>33</v>
      </c>
      <c r="E411" t="s">
        <v>12</v>
      </c>
      <c r="F411" t="s">
        <v>42</v>
      </c>
      <c r="G411">
        <v>108397</v>
      </c>
      <c r="H411" t="s">
        <v>14</v>
      </c>
      <c r="I411" s="1">
        <v>42587</v>
      </c>
    </row>
    <row r="412" spans="1:9" x14ac:dyDescent="0.3">
      <c r="A412" t="s">
        <v>845</v>
      </c>
      <c r="B412" t="s">
        <v>846</v>
      </c>
      <c r="C412" t="s">
        <v>11</v>
      </c>
      <c r="D412">
        <v>25</v>
      </c>
      <c r="E412" t="s">
        <v>12</v>
      </c>
      <c r="F412" t="s">
        <v>37</v>
      </c>
      <c r="G412">
        <v>53142</v>
      </c>
      <c r="H412" t="s">
        <v>20</v>
      </c>
      <c r="I412" s="1">
        <v>43411</v>
      </c>
    </row>
    <row r="413" spans="1:9" x14ac:dyDescent="0.3">
      <c r="A413" t="s">
        <v>847</v>
      </c>
      <c r="B413" t="s">
        <v>848</v>
      </c>
      <c r="C413" t="s">
        <v>17</v>
      </c>
      <c r="D413">
        <v>55</v>
      </c>
      <c r="E413" t="s">
        <v>12</v>
      </c>
      <c r="F413" t="s">
        <v>13</v>
      </c>
      <c r="G413">
        <v>46916</v>
      </c>
      <c r="H413" t="s">
        <v>20</v>
      </c>
      <c r="I413" s="1">
        <v>45608</v>
      </c>
    </row>
    <row r="414" spans="1:9" x14ac:dyDescent="0.3">
      <c r="A414" t="s">
        <v>849</v>
      </c>
      <c r="B414" t="s">
        <v>850</v>
      </c>
      <c r="C414" t="s">
        <v>17</v>
      </c>
      <c r="D414">
        <v>29</v>
      </c>
      <c r="E414" t="s">
        <v>18</v>
      </c>
      <c r="F414" t="s">
        <v>23</v>
      </c>
      <c r="G414">
        <v>84324</v>
      </c>
      <c r="H414" t="s">
        <v>14</v>
      </c>
      <c r="I414" s="1">
        <v>44965</v>
      </c>
    </row>
    <row r="415" spans="1:9" x14ac:dyDescent="0.3">
      <c r="A415" t="s">
        <v>851</v>
      </c>
      <c r="B415" t="s">
        <v>852</v>
      </c>
      <c r="C415" t="s">
        <v>11</v>
      </c>
      <c r="D415">
        <v>41</v>
      </c>
      <c r="E415" t="s">
        <v>18</v>
      </c>
      <c r="F415" t="s">
        <v>13</v>
      </c>
      <c r="G415">
        <v>196037</v>
      </c>
      <c r="H415" t="s">
        <v>20</v>
      </c>
      <c r="I415" s="1">
        <v>42457</v>
      </c>
    </row>
    <row r="416" spans="1:9" x14ac:dyDescent="0.3">
      <c r="A416" t="s">
        <v>853</v>
      </c>
      <c r="B416" t="s">
        <v>854</v>
      </c>
      <c r="C416" t="s">
        <v>11</v>
      </c>
      <c r="D416">
        <v>45</v>
      </c>
      <c r="E416" t="s">
        <v>34</v>
      </c>
      <c r="F416" t="s">
        <v>42</v>
      </c>
      <c r="G416">
        <v>145932</v>
      </c>
      <c r="H416" t="s">
        <v>20</v>
      </c>
      <c r="I416" s="1">
        <v>45884</v>
      </c>
    </row>
    <row r="417" spans="1:9" x14ac:dyDescent="0.3">
      <c r="A417" t="s">
        <v>855</v>
      </c>
      <c r="B417" t="s">
        <v>856</v>
      </c>
      <c r="C417" t="s">
        <v>11</v>
      </c>
      <c r="D417">
        <v>70</v>
      </c>
      <c r="E417" t="s">
        <v>34</v>
      </c>
      <c r="F417" t="s">
        <v>27</v>
      </c>
      <c r="G417">
        <v>155720</v>
      </c>
      <c r="H417" t="s">
        <v>20</v>
      </c>
      <c r="I417" s="1">
        <v>43022</v>
      </c>
    </row>
    <row r="418" spans="1:9" x14ac:dyDescent="0.3">
      <c r="A418" t="s">
        <v>857</v>
      </c>
      <c r="B418" t="s">
        <v>858</v>
      </c>
      <c r="C418" t="s">
        <v>11</v>
      </c>
      <c r="D418">
        <v>25</v>
      </c>
      <c r="E418" t="s">
        <v>12</v>
      </c>
      <c r="F418" t="s">
        <v>23</v>
      </c>
      <c r="G418">
        <v>186205</v>
      </c>
      <c r="H418" t="s">
        <v>24</v>
      </c>
      <c r="I418" s="1">
        <v>45595</v>
      </c>
    </row>
    <row r="419" spans="1:9" x14ac:dyDescent="0.3">
      <c r="A419" t="s">
        <v>859</v>
      </c>
      <c r="B419" t="s">
        <v>860</v>
      </c>
      <c r="C419" t="s">
        <v>17</v>
      </c>
      <c r="D419">
        <v>45</v>
      </c>
      <c r="E419" t="s">
        <v>30</v>
      </c>
      <c r="F419" t="s">
        <v>42</v>
      </c>
      <c r="G419">
        <v>116059</v>
      </c>
      <c r="H419" t="s">
        <v>14</v>
      </c>
      <c r="I419" s="1">
        <v>43432</v>
      </c>
    </row>
    <row r="420" spans="1:9" x14ac:dyDescent="0.3">
      <c r="A420" t="s">
        <v>861</v>
      </c>
      <c r="B420" t="s">
        <v>862</v>
      </c>
      <c r="C420" t="s">
        <v>17</v>
      </c>
      <c r="D420">
        <v>53</v>
      </c>
      <c r="E420" t="s">
        <v>30</v>
      </c>
      <c r="F420" t="s">
        <v>31</v>
      </c>
      <c r="G420">
        <v>118317</v>
      </c>
      <c r="H420" t="s">
        <v>20</v>
      </c>
      <c r="I420" s="1">
        <v>42802</v>
      </c>
    </row>
    <row r="421" spans="1:9" x14ac:dyDescent="0.3">
      <c r="A421" t="s">
        <v>863</v>
      </c>
      <c r="B421" t="s">
        <v>864</v>
      </c>
      <c r="C421" t="s">
        <v>17</v>
      </c>
      <c r="D421">
        <v>43</v>
      </c>
      <c r="E421" t="s">
        <v>18</v>
      </c>
      <c r="F421" t="s">
        <v>19</v>
      </c>
      <c r="G421">
        <v>55046</v>
      </c>
      <c r="H421" t="s">
        <v>14</v>
      </c>
      <c r="I421" s="1">
        <v>44313</v>
      </c>
    </row>
    <row r="422" spans="1:9" x14ac:dyDescent="0.3">
      <c r="A422" t="s">
        <v>865</v>
      </c>
      <c r="B422" t="s">
        <v>866</v>
      </c>
      <c r="C422" t="s">
        <v>17</v>
      </c>
      <c r="D422">
        <v>25</v>
      </c>
      <c r="E422" t="s">
        <v>18</v>
      </c>
      <c r="F422" t="s">
        <v>42</v>
      </c>
      <c r="G422">
        <v>198136</v>
      </c>
      <c r="H422" t="s">
        <v>20</v>
      </c>
      <c r="I422" s="1">
        <v>42565</v>
      </c>
    </row>
    <row r="423" spans="1:9" x14ac:dyDescent="0.3">
      <c r="A423" t="s">
        <v>867</v>
      </c>
      <c r="B423" t="s">
        <v>868</v>
      </c>
      <c r="C423" t="s">
        <v>17</v>
      </c>
      <c r="D423">
        <v>67</v>
      </c>
      <c r="E423" t="s">
        <v>18</v>
      </c>
      <c r="F423" t="s">
        <v>13</v>
      </c>
      <c r="G423">
        <v>121459</v>
      </c>
      <c r="H423" t="s">
        <v>20</v>
      </c>
      <c r="I423" s="1">
        <v>44523</v>
      </c>
    </row>
    <row r="424" spans="1:9" x14ac:dyDescent="0.3">
      <c r="A424" t="s">
        <v>869</v>
      </c>
      <c r="B424" t="s">
        <v>870</v>
      </c>
      <c r="C424" t="s">
        <v>17</v>
      </c>
      <c r="D424">
        <v>45</v>
      </c>
      <c r="E424" t="s">
        <v>34</v>
      </c>
      <c r="F424" t="s">
        <v>23</v>
      </c>
      <c r="G424">
        <v>65893</v>
      </c>
      <c r="H424" t="s">
        <v>20</v>
      </c>
      <c r="I424" s="1">
        <v>44513</v>
      </c>
    </row>
    <row r="425" spans="1:9" x14ac:dyDescent="0.3">
      <c r="A425" t="s">
        <v>871</v>
      </c>
      <c r="B425" t="s">
        <v>870</v>
      </c>
      <c r="C425" t="s">
        <v>11</v>
      </c>
      <c r="D425">
        <v>45</v>
      </c>
      <c r="E425" t="s">
        <v>34</v>
      </c>
      <c r="F425" t="s">
        <v>13</v>
      </c>
      <c r="G425">
        <v>121520</v>
      </c>
      <c r="H425" t="s">
        <v>20</v>
      </c>
      <c r="I425" s="1">
        <v>44111</v>
      </c>
    </row>
    <row r="426" spans="1:9" x14ac:dyDescent="0.3">
      <c r="A426" t="s">
        <v>872</v>
      </c>
      <c r="B426" t="s">
        <v>873</v>
      </c>
      <c r="C426" t="s">
        <v>17</v>
      </c>
      <c r="D426">
        <v>54</v>
      </c>
      <c r="E426" t="s">
        <v>18</v>
      </c>
      <c r="F426" t="s">
        <v>23</v>
      </c>
      <c r="G426">
        <v>145818</v>
      </c>
      <c r="H426" t="s">
        <v>14</v>
      </c>
      <c r="I426" s="1">
        <v>42917</v>
      </c>
    </row>
    <row r="427" spans="1:9" x14ac:dyDescent="0.3">
      <c r="A427" t="s">
        <v>874</v>
      </c>
      <c r="B427" t="s">
        <v>875</v>
      </c>
      <c r="C427" t="s">
        <v>11</v>
      </c>
      <c r="D427">
        <v>58</v>
      </c>
      <c r="E427" t="s">
        <v>18</v>
      </c>
      <c r="F427" t="s">
        <v>42</v>
      </c>
      <c r="G427">
        <v>81272</v>
      </c>
      <c r="H427" t="s">
        <v>14</v>
      </c>
      <c r="I427" s="1">
        <v>42747</v>
      </c>
    </row>
    <row r="428" spans="1:9" x14ac:dyDescent="0.3">
      <c r="A428" t="s">
        <v>876</v>
      </c>
      <c r="B428" t="s">
        <v>877</v>
      </c>
      <c r="C428" t="s">
        <v>11</v>
      </c>
      <c r="D428">
        <v>53</v>
      </c>
      <c r="E428" t="s">
        <v>18</v>
      </c>
      <c r="F428" t="s">
        <v>37</v>
      </c>
      <c r="G428">
        <v>87649</v>
      </c>
      <c r="H428" t="s">
        <v>24</v>
      </c>
      <c r="I428" s="1">
        <v>45052</v>
      </c>
    </row>
    <row r="429" spans="1:9" x14ac:dyDescent="0.3">
      <c r="A429" t="s">
        <v>878</v>
      </c>
      <c r="B429" t="s">
        <v>879</v>
      </c>
      <c r="C429" t="s">
        <v>17</v>
      </c>
      <c r="D429">
        <v>44</v>
      </c>
      <c r="E429" t="s">
        <v>30</v>
      </c>
      <c r="F429" t="s">
        <v>31</v>
      </c>
      <c r="G429">
        <v>84674</v>
      </c>
      <c r="H429" t="s">
        <v>24</v>
      </c>
      <c r="I429" s="1">
        <v>43617</v>
      </c>
    </row>
    <row r="430" spans="1:9" x14ac:dyDescent="0.3">
      <c r="A430" t="s">
        <v>880</v>
      </c>
      <c r="B430" t="s">
        <v>881</v>
      </c>
      <c r="C430" t="s">
        <v>11</v>
      </c>
      <c r="D430">
        <v>71</v>
      </c>
      <c r="E430" t="s">
        <v>34</v>
      </c>
      <c r="F430" t="s">
        <v>42</v>
      </c>
      <c r="G430">
        <v>164832</v>
      </c>
      <c r="H430" t="s">
        <v>14</v>
      </c>
      <c r="I430" s="1">
        <v>42971</v>
      </c>
    </row>
    <row r="431" spans="1:9" x14ac:dyDescent="0.3">
      <c r="A431" t="s">
        <v>882</v>
      </c>
      <c r="B431" t="s">
        <v>883</v>
      </c>
      <c r="C431" t="s">
        <v>17</v>
      </c>
      <c r="D431">
        <v>34</v>
      </c>
      <c r="E431" t="s">
        <v>30</v>
      </c>
      <c r="F431" t="s">
        <v>13</v>
      </c>
      <c r="G431">
        <v>172999</v>
      </c>
      <c r="H431" t="s">
        <v>14</v>
      </c>
      <c r="I431" s="1">
        <v>42894</v>
      </c>
    </row>
    <row r="432" spans="1:9" x14ac:dyDescent="0.3">
      <c r="A432" t="s">
        <v>884</v>
      </c>
      <c r="B432" t="s">
        <v>885</v>
      </c>
      <c r="C432" t="s">
        <v>11</v>
      </c>
      <c r="D432">
        <v>26</v>
      </c>
      <c r="E432" t="s">
        <v>30</v>
      </c>
      <c r="F432" t="s">
        <v>19</v>
      </c>
      <c r="G432">
        <v>106475</v>
      </c>
      <c r="H432" t="s">
        <v>14</v>
      </c>
      <c r="I432" s="1">
        <v>45133</v>
      </c>
    </row>
    <row r="433" spans="1:9" x14ac:dyDescent="0.3">
      <c r="A433" t="s">
        <v>886</v>
      </c>
      <c r="B433" t="s">
        <v>887</v>
      </c>
      <c r="C433" t="s">
        <v>17</v>
      </c>
      <c r="D433">
        <v>50</v>
      </c>
      <c r="E433" t="s">
        <v>18</v>
      </c>
      <c r="F433" t="s">
        <v>19</v>
      </c>
      <c r="G433">
        <v>81367</v>
      </c>
      <c r="H433" t="s">
        <v>20</v>
      </c>
      <c r="I433" s="1">
        <v>42887</v>
      </c>
    </row>
    <row r="434" spans="1:9" x14ac:dyDescent="0.3">
      <c r="A434" t="s">
        <v>888</v>
      </c>
      <c r="B434" t="s">
        <v>889</v>
      </c>
      <c r="C434" t="s">
        <v>11</v>
      </c>
      <c r="D434">
        <v>70</v>
      </c>
      <c r="E434" t="s">
        <v>18</v>
      </c>
      <c r="F434" t="s">
        <v>27</v>
      </c>
      <c r="G434">
        <v>163660</v>
      </c>
      <c r="H434" t="s">
        <v>20</v>
      </c>
      <c r="I434" s="1">
        <v>43774</v>
      </c>
    </row>
    <row r="435" spans="1:9" x14ac:dyDescent="0.3">
      <c r="A435" t="s">
        <v>890</v>
      </c>
      <c r="B435" t="s">
        <v>891</v>
      </c>
      <c r="C435" t="s">
        <v>17</v>
      </c>
      <c r="D435">
        <v>37</v>
      </c>
      <c r="E435" t="s">
        <v>12</v>
      </c>
      <c r="F435" t="s">
        <v>23</v>
      </c>
      <c r="G435">
        <v>141750</v>
      </c>
      <c r="H435" t="s">
        <v>14</v>
      </c>
      <c r="I435" s="1">
        <v>43599</v>
      </c>
    </row>
    <row r="436" spans="1:9" x14ac:dyDescent="0.3">
      <c r="A436" t="s">
        <v>892</v>
      </c>
      <c r="B436" t="s">
        <v>893</v>
      </c>
      <c r="C436" t="s">
        <v>17</v>
      </c>
      <c r="D436">
        <v>30</v>
      </c>
      <c r="E436" t="s">
        <v>12</v>
      </c>
      <c r="F436" t="s">
        <v>13</v>
      </c>
      <c r="G436">
        <v>138154</v>
      </c>
      <c r="H436" t="s">
        <v>14</v>
      </c>
      <c r="I436" s="1">
        <v>44896</v>
      </c>
    </row>
    <row r="437" spans="1:9" x14ac:dyDescent="0.3">
      <c r="A437" t="s">
        <v>894</v>
      </c>
      <c r="B437" t="s">
        <v>895</v>
      </c>
      <c r="C437" t="s">
        <v>17</v>
      </c>
      <c r="D437">
        <v>45</v>
      </c>
      <c r="E437" t="s">
        <v>30</v>
      </c>
      <c r="F437" t="s">
        <v>27</v>
      </c>
      <c r="G437">
        <v>64738</v>
      </c>
      <c r="H437" t="s">
        <v>20</v>
      </c>
      <c r="I437" s="1">
        <v>43760</v>
      </c>
    </row>
    <row r="438" spans="1:9" x14ac:dyDescent="0.3">
      <c r="A438" t="s">
        <v>896</v>
      </c>
      <c r="B438" t="s">
        <v>897</v>
      </c>
      <c r="C438" t="s">
        <v>17</v>
      </c>
      <c r="D438">
        <v>65</v>
      </c>
      <c r="E438" t="s">
        <v>34</v>
      </c>
      <c r="F438" t="s">
        <v>13</v>
      </c>
      <c r="G438">
        <v>53397</v>
      </c>
      <c r="H438" t="s">
        <v>20</v>
      </c>
      <c r="I438" s="1">
        <v>45281</v>
      </c>
    </row>
    <row r="439" spans="1:9" x14ac:dyDescent="0.3">
      <c r="A439" t="s">
        <v>898</v>
      </c>
      <c r="B439" t="s">
        <v>899</v>
      </c>
      <c r="C439" t="s">
        <v>17</v>
      </c>
      <c r="D439">
        <v>46</v>
      </c>
      <c r="E439" t="s">
        <v>18</v>
      </c>
      <c r="F439" t="s">
        <v>23</v>
      </c>
      <c r="G439">
        <v>102189</v>
      </c>
      <c r="H439" t="s">
        <v>14</v>
      </c>
      <c r="I439" s="1">
        <v>45037</v>
      </c>
    </row>
    <row r="440" spans="1:9" x14ac:dyDescent="0.3">
      <c r="A440" t="s">
        <v>900</v>
      </c>
      <c r="B440" t="s">
        <v>901</v>
      </c>
      <c r="C440" t="s">
        <v>11</v>
      </c>
      <c r="D440">
        <v>30</v>
      </c>
      <c r="E440" t="s">
        <v>18</v>
      </c>
      <c r="F440" t="s">
        <v>42</v>
      </c>
      <c r="G440">
        <v>96367</v>
      </c>
      <c r="H440" t="s">
        <v>14</v>
      </c>
      <c r="I440" s="1">
        <v>45328</v>
      </c>
    </row>
    <row r="441" spans="1:9" x14ac:dyDescent="0.3">
      <c r="A441" t="s">
        <v>902</v>
      </c>
      <c r="B441" t="s">
        <v>903</v>
      </c>
      <c r="C441" t="s">
        <v>11</v>
      </c>
      <c r="D441">
        <v>63</v>
      </c>
      <c r="E441" t="s">
        <v>30</v>
      </c>
      <c r="F441" t="s">
        <v>42</v>
      </c>
      <c r="G441">
        <v>140585</v>
      </c>
      <c r="H441" t="s">
        <v>14</v>
      </c>
      <c r="I441" s="1">
        <v>43274</v>
      </c>
    </row>
    <row r="442" spans="1:9" x14ac:dyDescent="0.3">
      <c r="A442" t="s">
        <v>904</v>
      </c>
      <c r="B442" t="s">
        <v>905</v>
      </c>
      <c r="C442" t="s">
        <v>11</v>
      </c>
      <c r="D442">
        <v>52</v>
      </c>
      <c r="E442" t="s">
        <v>12</v>
      </c>
      <c r="F442" t="s">
        <v>19</v>
      </c>
      <c r="G442">
        <v>96619</v>
      </c>
      <c r="H442" t="s">
        <v>14</v>
      </c>
      <c r="I442" s="1">
        <v>44964</v>
      </c>
    </row>
    <row r="443" spans="1:9" x14ac:dyDescent="0.3">
      <c r="A443" t="s">
        <v>906</v>
      </c>
      <c r="B443" t="s">
        <v>907</v>
      </c>
      <c r="C443" t="s">
        <v>17</v>
      </c>
      <c r="D443">
        <v>23</v>
      </c>
      <c r="E443" t="s">
        <v>34</v>
      </c>
      <c r="F443" t="s">
        <v>42</v>
      </c>
      <c r="G443">
        <v>131453</v>
      </c>
      <c r="H443" t="s">
        <v>14</v>
      </c>
      <c r="I443" s="1">
        <v>44692</v>
      </c>
    </row>
    <row r="444" spans="1:9" x14ac:dyDescent="0.3">
      <c r="A444" t="s">
        <v>908</v>
      </c>
      <c r="B444" t="s">
        <v>909</v>
      </c>
      <c r="C444" t="s">
        <v>11</v>
      </c>
      <c r="D444">
        <v>35</v>
      </c>
      <c r="E444" t="s">
        <v>12</v>
      </c>
      <c r="F444" t="s">
        <v>42</v>
      </c>
      <c r="G444">
        <v>39816</v>
      </c>
      <c r="H444" t="s">
        <v>20</v>
      </c>
      <c r="I444" s="1">
        <v>43285</v>
      </c>
    </row>
    <row r="445" spans="1:9" x14ac:dyDescent="0.3">
      <c r="A445" t="s">
        <v>910</v>
      </c>
      <c r="B445" t="s">
        <v>911</v>
      </c>
      <c r="C445" t="s">
        <v>17</v>
      </c>
      <c r="D445">
        <v>68</v>
      </c>
      <c r="E445" t="s">
        <v>12</v>
      </c>
      <c r="F445" t="s">
        <v>37</v>
      </c>
      <c r="G445">
        <v>193312</v>
      </c>
      <c r="H445" t="s">
        <v>20</v>
      </c>
      <c r="I445" s="1">
        <v>43074</v>
      </c>
    </row>
    <row r="446" spans="1:9" x14ac:dyDescent="0.3">
      <c r="A446" t="s">
        <v>912</v>
      </c>
      <c r="B446" t="s">
        <v>913</v>
      </c>
      <c r="C446" t="s">
        <v>17</v>
      </c>
      <c r="D446">
        <v>22</v>
      </c>
      <c r="E446" t="s">
        <v>12</v>
      </c>
      <c r="F446" t="s">
        <v>19</v>
      </c>
      <c r="G446">
        <v>157348</v>
      </c>
      <c r="H446" t="s">
        <v>20</v>
      </c>
      <c r="I446" s="1">
        <v>44666</v>
      </c>
    </row>
    <row r="447" spans="1:9" x14ac:dyDescent="0.3">
      <c r="A447" t="s">
        <v>914</v>
      </c>
      <c r="B447" t="s">
        <v>915</v>
      </c>
      <c r="C447" t="s">
        <v>11</v>
      </c>
      <c r="D447">
        <v>64</v>
      </c>
      <c r="E447" t="s">
        <v>12</v>
      </c>
      <c r="F447" t="s">
        <v>27</v>
      </c>
      <c r="G447">
        <v>99530</v>
      </c>
      <c r="H447" t="s">
        <v>20</v>
      </c>
      <c r="I447" s="1">
        <v>44459</v>
      </c>
    </row>
    <row r="448" spans="1:9" x14ac:dyDescent="0.3">
      <c r="A448" t="s">
        <v>916</v>
      </c>
      <c r="B448" t="s">
        <v>917</v>
      </c>
      <c r="C448" t="s">
        <v>11</v>
      </c>
      <c r="D448">
        <v>42</v>
      </c>
      <c r="E448" t="s">
        <v>18</v>
      </c>
      <c r="F448" t="s">
        <v>31</v>
      </c>
      <c r="G448">
        <v>174571</v>
      </c>
      <c r="H448" t="s">
        <v>14</v>
      </c>
      <c r="I448" s="1">
        <v>44994</v>
      </c>
    </row>
    <row r="449" spans="1:9" x14ac:dyDescent="0.3">
      <c r="A449" t="s">
        <v>918</v>
      </c>
      <c r="B449" t="s">
        <v>919</v>
      </c>
      <c r="C449" t="s">
        <v>17</v>
      </c>
      <c r="D449">
        <v>19</v>
      </c>
      <c r="E449" t="s">
        <v>18</v>
      </c>
      <c r="F449" t="s">
        <v>37</v>
      </c>
      <c r="G449">
        <v>128856</v>
      </c>
      <c r="H449" t="s">
        <v>14</v>
      </c>
      <c r="I449" s="1">
        <v>44493</v>
      </c>
    </row>
    <row r="450" spans="1:9" x14ac:dyDescent="0.3">
      <c r="A450" t="s">
        <v>920</v>
      </c>
      <c r="B450" t="s">
        <v>921</v>
      </c>
      <c r="C450" t="s">
        <v>11</v>
      </c>
      <c r="D450">
        <v>27</v>
      </c>
      <c r="E450" t="s">
        <v>12</v>
      </c>
      <c r="F450" t="s">
        <v>27</v>
      </c>
      <c r="G450">
        <v>91635</v>
      </c>
      <c r="H450" t="s">
        <v>14</v>
      </c>
      <c r="I450" s="1">
        <v>44032</v>
      </c>
    </row>
    <row r="451" spans="1:9" x14ac:dyDescent="0.3">
      <c r="A451" t="s">
        <v>922</v>
      </c>
      <c r="B451" t="s">
        <v>923</v>
      </c>
      <c r="C451" t="s">
        <v>17</v>
      </c>
      <c r="D451">
        <v>73</v>
      </c>
      <c r="E451" t="s">
        <v>34</v>
      </c>
      <c r="F451" t="s">
        <v>23</v>
      </c>
      <c r="G451">
        <v>127803</v>
      </c>
      <c r="H451" t="s">
        <v>14</v>
      </c>
      <c r="I451" s="1">
        <v>45486</v>
      </c>
    </row>
    <row r="452" spans="1:9" x14ac:dyDescent="0.3">
      <c r="A452" t="s">
        <v>924</v>
      </c>
      <c r="B452" t="s">
        <v>925</v>
      </c>
      <c r="C452" t="s">
        <v>17</v>
      </c>
      <c r="D452">
        <v>47</v>
      </c>
      <c r="E452" t="s">
        <v>30</v>
      </c>
      <c r="F452" t="s">
        <v>37</v>
      </c>
      <c r="G452">
        <v>55946</v>
      </c>
      <c r="H452" t="s">
        <v>20</v>
      </c>
      <c r="I452" s="1">
        <v>42580</v>
      </c>
    </row>
    <row r="453" spans="1:9" x14ac:dyDescent="0.3">
      <c r="A453" t="s">
        <v>926</v>
      </c>
      <c r="B453" t="s">
        <v>927</v>
      </c>
      <c r="C453" t="s">
        <v>17</v>
      </c>
      <c r="D453">
        <v>67</v>
      </c>
      <c r="E453" t="s">
        <v>34</v>
      </c>
      <c r="F453" t="s">
        <v>27</v>
      </c>
      <c r="G453">
        <v>75204</v>
      </c>
      <c r="H453" t="s">
        <v>24</v>
      </c>
      <c r="I453" s="1">
        <v>45412</v>
      </c>
    </row>
    <row r="454" spans="1:9" x14ac:dyDescent="0.3">
      <c r="A454" t="s">
        <v>928</v>
      </c>
      <c r="B454" t="s">
        <v>929</v>
      </c>
      <c r="C454" t="s">
        <v>17</v>
      </c>
      <c r="D454">
        <v>62</v>
      </c>
      <c r="E454" t="s">
        <v>34</v>
      </c>
      <c r="F454" t="s">
        <v>23</v>
      </c>
      <c r="G454">
        <v>35563</v>
      </c>
      <c r="H454" t="s">
        <v>14</v>
      </c>
      <c r="I454" s="1">
        <v>43669</v>
      </c>
    </row>
    <row r="455" spans="1:9" x14ac:dyDescent="0.3">
      <c r="A455" t="s">
        <v>930</v>
      </c>
      <c r="B455" t="s">
        <v>931</v>
      </c>
      <c r="C455" t="s">
        <v>17</v>
      </c>
      <c r="D455">
        <v>22</v>
      </c>
      <c r="E455" t="s">
        <v>34</v>
      </c>
      <c r="F455" t="s">
        <v>19</v>
      </c>
      <c r="G455">
        <v>112324</v>
      </c>
      <c r="H455" t="s">
        <v>14</v>
      </c>
      <c r="I455" s="1">
        <v>43074</v>
      </c>
    </row>
    <row r="456" spans="1:9" x14ac:dyDescent="0.3">
      <c r="A456" t="s">
        <v>932</v>
      </c>
      <c r="B456" t="s">
        <v>933</v>
      </c>
      <c r="C456" t="s">
        <v>11</v>
      </c>
      <c r="D456">
        <v>72</v>
      </c>
      <c r="E456" t="s">
        <v>12</v>
      </c>
      <c r="F456" t="s">
        <v>31</v>
      </c>
      <c r="G456">
        <v>29847</v>
      </c>
      <c r="H456" t="s">
        <v>20</v>
      </c>
      <c r="I456" s="1">
        <v>44557</v>
      </c>
    </row>
    <row r="457" spans="1:9" x14ac:dyDescent="0.3">
      <c r="A457" t="s">
        <v>934</v>
      </c>
      <c r="B457" t="s">
        <v>935</v>
      </c>
      <c r="C457" t="s">
        <v>11</v>
      </c>
      <c r="D457">
        <v>73</v>
      </c>
      <c r="E457" t="s">
        <v>18</v>
      </c>
      <c r="F457" t="s">
        <v>23</v>
      </c>
      <c r="G457">
        <v>46155</v>
      </c>
      <c r="H457" t="s">
        <v>14</v>
      </c>
      <c r="I457" s="1">
        <v>42386</v>
      </c>
    </row>
    <row r="458" spans="1:9" x14ac:dyDescent="0.3">
      <c r="A458" t="s">
        <v>936</v>
      </c>
      <c r="B458" t="s">
        <v>937</v>
      </c>
      <c r="C458" t="s">
        <v>17</v>
      </c>
      <c r="D458">
        <v>50</v>
      </c>
      <c r="E458" t="s">
        <v>34</v>
      </c>
      <c r="F458" t="s">
        <v>42</v>
      </c>
      <c r="G458">
        <v>99671</v>
      </c>
      <c r="H458" t="s">
        <v>14</v>
      </c>
      <c r="I458" s="1">
        <v>42416</v>
      </c>
    </row>
    <row r="459" spans="1:9" x14ac:dyDescent="0.3">
      <c r="A459" t="s">
        <v>938</v>
      </c>
      <c r="B459" t="s">
        <v>939</v>
      </c>
      <c r="C459" t="s">
        <v>17</v>
      </c>
      <c r="D459">
        <v>71</v>
      </c>
      <c r="E459" t="s">
        <v>12</v>
      </c>
      <c r="F459" t="s">
        <v>13</v>
      </c>
      <c r="G459">
        <v>136891</v>
      </c>
      <c r="H459" t="s">
        <v>20</v>
      </c>
      <c r="I459" s="1">
        <v>45469</v>
      </c>
    </row>
    <row r="460" spans="1:9" x14ac:dyDescent="0.3">
      <c r="A460" t="s">
        <v>940</v>
      </c>
      <c r="B460" t="s">
        <v>941</v>
      </c>
      <c r="C460" t="s">
        <v>11</v>
      </c>
      <c r="D460">
        <v>18</v>
      </c>
      <c r="E460" t="s">
        <v>34</v>
      </c>
      <c r="F460" t="s">
        <v>23</v>
      </c>
      <c r="G460">
        <v>103310</v>
      </c>
      <c r="H460" t="s">
        <v>20</v>
      </c>
      <c r="I460" s="1">
        <v>43849</v>
      </c>
    </row>
    <row r="461" spans="1:9" x14ac:dyDescent="0.3">
      <c r="A461" t="s">
        <v>942</v>
      </c>
      <c r="B461" t="s">
        <v>943</v>
      </c>
      <c r="C461" t="s">
        <v>11</v>
      </c>
      <c r="D461">
        <v>35</v>
      </c>
      <c r="E461" t="s">
        <v>34</v>
      </c>
      <c r="F461" t="s">
        <v>23</v>
      </c>
      <c r="G461">
        <v>169381</v>
      </c>
      <c r="H461" t="s">
        <v>14</v>
      </c>
      <c r="I461" s="1">
        <v>44357</v>
      </c>
    </row>
    <row r="462" spans="1:9" x14ac:dyDescent="0.3">
      <c r="A462" t="s">
        <v>944</v>
      </c>
      <c r="B462" t="s">
        <v>945</v>
      </c>
      <c r="C462" t="s">
        <v>17</v>
      </c>
      <c r="D462">
        <v>49</v>
      </c>
      <c r="E462" t="s">
        <v>12</v>
      </c>
      <c r="F462" t="s">
        <v>31</v>
      </c>
      <c r="G462">
        <v>151691</v>
      </c>
      <c r="H462" t="s">
        <v>14</v>
      </c>
      <c r="I462" s="1">
        <v>43401</v>
      </c>
    </row>
    <row r="463" spans="1:9" x14ac:dyDescent="0.3">
      <c r="A463" t="s">
        <v>946</v>
      </c>
      <c r="B463" t="s">
        <v>947</v>
      </c>
      <c r="C463" t="s">
        <v>11</v>
      </c>
      <c r="D463">
        <v>64</v>
      </c>
      <c r="E463" t="s">
        <v>18</v>
      </c>
      <c r="F463" t="s">
        <v>13</v>
      </c>
      <c r="G463">
        <v>54707</v>
      </c>
      <c r="H463" t="s">
        <v>20</v>
      </c>
      <c r="I463" s="1">
        <v>43726</v>
      </c>
    </row>
    <row r="464" spans="1:9" x14ac:dyDescent="0.3">
      <c r="A464" t="s">
        <v>948</v>
      </c>
      <c r="B464" t="s">
        <v>949</v>
      </c>
      <c r="C464" t="s">
        <v>17</v>
      </c>
      <c r="D464">
        <v>66</v>
      </c>
      <c r="E464" t="s">
        <v>18</v>
      </c>
      <c r="F464" t="s">
        <v>42</v>
      </c>
      <c r="G464">
        <v>171409</v>
      </c>
      <c r="H464" t="s">
        <v>14</v>
      </c>
      <c r="I464" s="1">
        <v>45484</v>
      </c>
    </row>
    <row r="465" spans="1:9" x14ac:dyDescent="0.3">
      <c r="A465" t="s">
        <v>950</v>
      </c>
      <c r="B465" t="s">
        <v>951</v>
      </c>
      <c r="C465" t="s">
        <v>11</v>
      </c>
      <c r="D465">
        <v>28</v>
      </c>
      <c r="E465" t="s">
        <v>30</v>
      </c>
      <c r="F465" t="s">
        <v>27</v>
      </c>
      <c r="G465">
        <v>101537</v>
      </c>
      <c r="H465" t="s">
        <v>14</v>
      </c>
      <c r="I465" s="1">
        <v>43028</v>
      </c>
    </row>
    <row r="466" spans="1:9" x14ac:dyDescent="0.3">
      <c r="A466" t="s">
        <v>952</v>
      </c>
      <c r="B466" t="s">
        <v>953</v>
      </c>
      <c r="C466" t="s">
        <v>17</v>
      </c>
      <c r="D466">
        <v>38</v>
      </c>
      <c r="E466" t="s">
        <v>12</v>
      </c>
      <c r="F466" t="s">
        <v>27</v>
      </c>
      <c r="G466">
        <v>198686</v>
      </c>
      <c r="H466" t="s">
        <v>20</v>
      </c>
      <c r="I466" s="1">
        <v>45801</v>
      </c>
    </row>
    <row r="467" spans="1:9" x14ac:dyDescent="0.3">
      <c r="A467" t="s">
        <v>954</v>
      </c>
      <c r="B467" t="s">
        <v>955</v>
      </c>
      <c r="C467" t="s">
        <v>11</v>
      </c>
      <c r="D467">
        <v>43</v>
      </c>
      <c r="E467" t="s">
        <v>30</v>
      </c>
      <c r="F467" t="s">
        <v>23</v>
      </c>
      <c r="G467">
        <v>111155</v>
      </c>
      <c r="H467" t="s">
        <v>14</v>
      </c>
      <c r="I467" s="1">
        <v>44745</v>
      </c>
    </row>
    <row r="468" spans="1:9" x14ac:dyDescent="0.3">
      <c r="A468" t="s">
        <v>956</v>
      </c>
      <c r="B468" t="s">
        <v>957</v>
      </c>
      <c r="C468" t="s">
        <v>17</v>
      </c>
      <c r="D468">
        <v>42</v>
      </c>
      <c r="E468" t="s">
        <v>30</v>
      </c>
      <c r="F468" t="s">
        <v>13</v>
      </c>
      <c r="G468">
        <v>20281</v>
      </c>
      <c r="H468" t="s">
        <v>20</v>
      </c>
      <c r="I468" s="1">
        <v>44498</v>
      </c>
    </row>
    <row r="469" spans="1:9" x14ac:dyDescent="0.3">
      <c r="A469" t="s">
        <v>958</v>
      </c>
      <c r="B469" t="s">
        <v>959</v>
      </c>
      <c r="C469" t="s">
        <v>11</v>
      </c>
      <c r="D469">
        <v>39</v>
      </c>
      <c r="E469" t="s">
        <v>30</v>
      </c>
      <c r="F469" t="s">
        <v>13</v>
      </c>
      <c r="G469">
        <v>178492</v>
      </c>
      <c r="H469" t="s">
        <v>14</v>
      </c>
      <c r="I469" s="1">
        <v>45319</v>
      </c>
    </row>
    <row r="470" spans="1:9" x14ac:dyDescent="0.3">
      <c r="A470" t="s">
        <v>960</v>
      </c>
      <c r="B470" t="s">
        <v>961</v>
      </c>
      <c r="C470" t="s">
        <v>11</v>
      </c>
      <c r="D470">
        <v>44</v>
      </c>
      <c r="E470" t="s">
        <v>18</v>
      </c>
      <c r="F470" t="s">
        <v>42</v>
      </c>
      <c r="G470">
        <v>190102</v>
      </c>
      <c r="H470" t="s">
        <v>24</v>
      </c>
      <c r="I470" s="1">
        <v>42954</v>
      </c>
    </row>
    <row r="471" spans="1:9" x14ac:dyDescent="0.3">
      <c r="A471" t="s">
        <v>962</v>
      </c>
      <c r="B471" t="s">
        <v>963</v>
      </c>
      <c r="C471" t="s">
        <v>17</v>
      </c>
      <c r="D471">
        <v>66</v>
      </c>
      <c r="E471" t="s">
        <v>12</v>
      </c>
      <c r="F471" t="s">
        <v>31</v>
      </c>
      <c r="G471">
        <v>152130</v>
      </c>
      <c r="H471" t="s">
        <v>14</v>
      </c>
      <c r="I471" s="1">
        <v>44345</v>
      </c>
    </row>
    <row r="472" spans="1:9" x14ac:dyDescent="0.3">
      <c r="A472" t="s">
        <v>964</v>
      </c>
      <c r="B472" t="s">
        <v>965</v>
      </c>
      <c r="C472" t="s">
        <v>11</v>
      </c>
      <c r="D472">
        <v>30</v>
      </c>
      <c r="E472" t="s">
        <v>30</v>
      </c>
      <c r="F472" t="s">
        <v>19</v>
      </c>
      <c r="G472">
        <v>96260</v>
      </c>
      <c r="H472" t="s">
        <v>14</v>
      </c>
      <c r="I472" s="1">
        <v>45664</v>
      </c>
    </row>
    <row r="473" spans="1:9" x14ac:dyDescent="0.3">
      <c r="A473" t="s">
        <v>966</v>
      </c>
      <c r="B473" t="s">
        <v>967</v>
      </c>
      <c r="C473" t="s">
        <v>17</v>
      </c>
      <c r="D473">
        <v>50</v>
      </c>
      <c r="E473" t="s">
        <v>12</v>
      </c>
      <c r="F473" t="s">
        <v>27</v>
      </c>
      <c r="G473">
        <v>179476</v>
      </c>
      <c r="H473" t="s">
        <v>14</v>
      </c>
      <c r="I473" s="1">
        <v>43369</v>
      </c>
    </row>
    <row r="474" spans="1:9" x14ac:dyDescent="0.3">
      <c r="A474" t="s">
        <v>968</v>
      </c>
      <c r="B474" t="s">
        <v>969</v>
      </c>
      <c r="C474" t="s">
        <v>11</v>
      </c>
      <c r="D474">
        <v>51</v>
      </c>
      <c r="E474" t="s">
        <v>12</v>
      </c>
      <c r="F474" t="s">
        <v>31</v>
      </c>
      <c r="G474">
        <v>180928</v>
      </c>
      <c r="H474" t="s">
        <v>14</v>
      </c>
      <c r="I474" s="1">
        <v>44083</v>
      </c>
    </row>
    <row r="475" spans="1:9" x14ac:dyDescent="0.3">
      <c r="A475" t="s">
        <v>970</v>
      </c>
      <c r="B475" t="s">
        <v>971</v>
      </c>
      <c r="C475" t="s">
        <v>17</v>
      </c>
      <c r="D475">
        <v>58</v>
      </c>
      <c r="E475" t="s">
        <v>18</v>
      </c>
      <c r="F475" t="s">
        <v>37</v>
      </c>
      <c r="G475">
        <v>160272</v>
      </c>
      <c r="H475" t="s">
        <v>20</v>
      </c>
      <c r="I475" s="1">
        <v>43719</v>
      </c>
    </row>
    <row r="476" spans="1:9" x14ac:dyDescent="0.3">
      <c r="A476" t="s">
        <v>972</v>
      </c>
      <c r="B476" t="s">
        <v>973</v>
      </c>
      <c r="C476" t="s">
        <v>11</v>
      </c>
      <c r="D476">
        <v>52</v>
      </c>
      <c r="E476" t="s">
        <v>30</v>
      </c>
      <c r="F476" t="s">
        <v>27</v>
      </c>
      <c r="G476">
        <v>84178</v>
      </c>
      <c r="H476" t="s">
        <v>24</v>
      </c>
      <c r="I476" s="1">
        <v>44123</v>
      </c>
    </row>
    <row r="477" spans="1:9" x14ac:dyDescent="0.3">
      <c r="A477" t="s">
        <v>974</v>
      </c>
      <c r="B477" t="s">
        <v>975</v>
      </c>
      <c r="C477" t="s">
        <v>17</v>
      </c>
      <c r="D477">
        <v>18</v>
      </c>
      <c r="E477" t="s">
        <v>30</v>
      </c>
      <c r="F477" t="s">
        <v>31</v>
      </c>
      <c r="G477">
        <v>53997</v>
      </c>
      <c r="H477" t="s">
        <v>14</v>
      </c>
      <c r="I477" s="1">
        <v>43488</v>
      </c>
    </row>
    <row r="478" spans="1:9" x14ac:dyDescent="0.3">
      <c r="A478" t="s">
        <v>976</v>
      </c>
      <c r="B478" t="s">
        <v>977</v>
      </c>
      <c r="C478" t="s">
        <v>11</v>
      </c>
      <c r="D478">
        <v>38</v>
      </c>
      <c r="E478" t="s">
        <v>12</v>
      </c>
      <c r="F478" t="s">
        <v>27</v>
      </c>
      <c r="G478">
        <v>176683</v>
      </c>
      <c r="H478" t="s">
        <v>14</v>
      </c>
      <c r="I478" s="1">
        <v>42325</v>
      </c>
    </row>
    <row r="479" spans="1:9" x14ac:dyDescent="0.3">
      <c r="A479" t="s">
        <v>978</v>
      </c>
      <c r="B479" t="s">
        <v>979</v>
      </c>
      <c r="C479" t="s">
        <v>17</v>
      </c>
      <c r="D479">
        <v>65</v>
      </c>
      <c r="E479" t="s">
        <v>34</v>
      </c>
      <c r="F479" t="s">
        <v>19</v>
      </c>
      <c r="G479">
        <v>139273</v>
      </c>
      <c r="H479" t="s">
        <v>20</v>
      </c>
      <c r="I479" s="1">
        <v>42602</v>
      </c>
    </row>
    <row r="480" spans="1:9" x14ac:dyDescent="0.3">
      <c r="A480" t="s">
        <v>980</v>
      </c>
      <c r="B480" t="s">
        <v>981</v>
      </c>
      <c r="C480" t="s">
        <v>11</v>
      </c>
      <c r="D480">
        <v>72</v>
      </c>
      <c r="E480" t="s">
        <v>18</v>
      </c>
      <c r="F480" t="s">
        <v>37</v>
      </c>
      <c r="G480">
        <v>192307</v>
      </c>
      <c r="H480" t="s">
        <v>20</v>
      </c>
      <c r="I480" s="1">
        <v>44108</v>
      </c>
    </row>
    <row r="481" spans="1:9" x14ac:dyDescent="0.3">
      <c r="A481" t="s">
        <v>982</v>
      </c>
      <c r="B481" t="s">
        <v>983</v>
      </c>
      <c r="C481" t="s">
        <v>17</v>
      </c>
      <c r="D481">
        <v>23</v>
      </c>
      <c r="E481" t="s">
        <v>18</v>
      </c>
      <c r="F481" t="s">
        <v>19</v>
      </c>
      <c r="G481">
        <v>186129</v>
      </c>
      <c r="H481" t="s">
        <v>14</v>
      </c>
      <c r="I481" s="1">
        <v>45476</v>
      </c>
    </row>
    <row r="482" spans="1:9" x14ac:dyDescent="0.3">
      <c r="A482" t="s">
        <v>984</v>
      </c>
      <c r="B482" t="s">
        <v>985</v>
      </c>
      <c r="C482" t="s">
        <v>17</v>
      </c>
      <c r="D482">
        <v>45</v>
      </c>
      <c r="E482" t="s">
        <v>18</v>
      </c>
      <c r="F482" t="s">
        <v>42</v>
      </c>
      <c r="G482">
        <v>152311</v>
      </c>
      <c r="H482" t="s">
        <v>14</v>
      </c>
      <c r="I482" s="1">
        <v>42411</v>
      </c>
    </row>
    <row r="483" spans="1:9" x14ac:dyDescent="0.3">
      <c r="A483" t="s">
        <v>986</v>
      </c>
      <c r="B483" t="s">
        <v>987</v>
      </c>
      <c r="C483" t="s">
        <v>17</v>
      </c>
      <c r="D483">
        <v>34</v>
      </c>
      <c r="E483" t="s">
        <v>18</v>
      </c>
      <c r="F483" t="s">
        <v>37</v>
      </c>
      <c r="G483">
        <v>146945</v>
      </c>
      <c r="H483" t="s">
        <v>14</v>
      </c>
      <c r="I483" s="1">
        <v>43553</v>
      </c>
    </row>
    <row r="484" spans="1:9" x14ac:dyDescent="0.3">
      <c r="A484" t="s">
        <v>988</v>
      </c>
      <c r="B484" t="s">
        <v>989</v>
      </c>
      <c r="C484" t="s">
        <v>11</v>
      </c>
      <c r="D484">
        <v>22</v>
      </c>
      <c r="E484" t="s">
        <v>30</v>
      </c>
      <c r="F484" t="s">
        <v>23</v>
      </c>
      <c r="G484">
        <v>65272</v>
      </c>
      <c r="H484" t="s">
        <v>20</v>
      </c>
      <c r="I484" s="1">
        <v>45512</v>
      </c>
    </row>
    <row r="485" spans="1:9" x14ac:dyDescent="0.3">
      <c r="A485" t="s">
        <v>990</v>
      </c>
      <c r="B485" t="s">
        <v>991</v>
      </c>
      <c r="C485" t="s">
        <v>17</v>
      </c>
      <c r="D485">
        <v>48</v>
      </c>
      <c r="E485" t="s">
        <v>30</v>
      </c>
      <c r="F485" t="s">
        <v>31</v>
      </c>
      <c r="G485">
        <v>109393</v>
      </c>
      <c r="H485" t="s">
        <v>14</v>
      </c>
      <c r="I485" s="1">
        <v>45087</v>
      </c>
    </row>
    <row r="486" spans="1:9" x14ac:dyDescent="0.3">
      <c r="A486" t="s">
        <v>992</v>
      </c>
      <c r="B486" t="s">
        <v>993</v>
      </c>
      <c r="C486" t="s">
        <v>11</v>
      </c>
      <c r="D486">
        <v>22</v>
      </c>
      <c r="E486" t="s">
        <v>34</v>
      </c>
      <c r="F486" t="s">
        <v>37</v>
      </c>
      <c r="G486">
        <v>81212</v>
      </c>
      <c r="H486" t="s">
        <v>20</v>
      </c>
      <c r="I486" s="1">
        <v>43346</v>
      </c>
    </row>
    <row r="487" spans="1:9" x14ac:dyDescent="0.3">
      <c r="A487" t="s">
        <v>994</v>
      </c>
      <c r="B487" t="s">
        <v>995</v>
      </c>
      <c r="C487" t="s">
        <v>17</v>
      </c>
      <c r="D487">
        <v>55</v>
      </c>
      <c r="E487" t="s">
        <v>18</v>
      </c>
      <c r="F487" t="s">
        <v>42</v>
      </c>
      <c r="G487">
        <v>166470</v>
      </c>
      <c r="H487" t="s">
        <v>14</v>
      </c>
      <c r="I487" s="1">
        <v>45621</v>
      </c>
    </row>
    <row r="488" spans="1:9" x14ac:dyDescent="0.3">
      <c r="A488" t="s">
        <v>996</v>
      </c>
      <c r="B488" t="s">
        <v>997</v>
      </c>
      <c r="C488" t="s">
        <v>11</v>
      </c>
      <c r="D488">
        <v>20</v>
      </c>
      <c r="E488" t="s">
        <v>18</v>
      </c>
      <c r="F488" t="s">
        <v>42</v>
      </c>
      <c r="G488">
        <v>140030</v>
      </c>
      <c r="H488" t="s">
        <v>20</v>
      </c>
      <c r="I488" s="1">
        <v>44975</v>
      </c>
    </row>
    <row r="489" spans="1:9" x14ac:dyDescent="0.3">
      <c r="A489" t="s">
        <v>998</v>
      </c>
      <c r="B489" t="s">
        <v>999</v>
      </c>
      <c r="C489" t="s">
        <v>17</v>
      </c>
      <c r="D489">
        <v>70</v>
      </c>
      <c r="E489" t="s">
        <v>12</v>
      </c>
      <c r="F489" t="s">
        <v>19</v>
      </c>
      <c r="G489">
        <v>76503</v>
      </c>
      <c r="H489" t="s">
        <v>14</v>
      </c>
      <c r="I489" s="1">
        <v>45681</v>
      </c>
    </row>
    <row r="490" spans="1:9" x14ac:dyDescent="0.3">
      <c r="A490" t="s">
        <v>1000</v>
      </c>
      <c r="B490" t="s">
        <v>1001</v>
      </c>
      <c r="C490" t="s">
        <v>11</v>
      </c>
      <c r="D490">
        <v>40</v>
      </c>
      <c r="E490" t="s">
        <v>30</v>
      </c>
      <c r="F490" t="s">
        <v>27</v>
      </c>
      <c r="G490">
        <v>157710</v>
      </c>
      <c r="H490" t="s">
        <v>14</v>
      </c>
      <c r="I490" s="1">
        <v>45104</v>
      </c>
    </row>
    <row r="491" spans="1:9" x14ac:dyDescent="0.3">
      <c r="A491" t="s">
        <v>1002</v>
      </c>
      <c r="B491" t="s">
        <v>1003</v>
      </c>
      <c r="C491" t="s">
        <v>11</v>
      </c>
      <c r="D491">
        <v>54</v>
      </c>
      <c r="E491" t="s">
        <v>18</v>
      </c>
      <c r="F491" t="s">
        <v>37</v>
      </c>
      <c r="G491">
        <v>26570</v>
      </c>
      <c r="H491" t="s">
        <v>14</v>
      </c>
      <c r="I491" s="1">
        <v>44800</v>
      </c>
    </row>
    <row r="492" spans="1:9" x14ac:dyDescent="0.3">
      <c r="A492" t="s">
        <v>1004</v>
      </c>
      <c r="B492" t="s">
        <v>1005</v>
      </c>
      <c r="C492" t="s">
        <v>17</v>
      </c>
      <c r="D492">
        <v>70</v>
      </c>
      <c r="E492" t="s">
        <v>34</v>
      </c>
      <c r="F492" t="s">
        <v>31</v>
      </c>
      <c r="G492">
        <v>88785</v>
      </c>
      <c r="H492" t="s">
        <v>20</v>
      </c>
      <c r="I492" s="1">
        <v>44778</v>
      </c>
    </row>
    <row r="493" spans="1:9" x14ac:dyDescent="0.3">
      <c r="A493" t="s">
        <v>1006</v>
      </c>
      <c r="B493" t="s">
        <v>1007</v>
      </c>
      <c r="C493" t="s">
        <v>11</v>
      </c>
      <c r="D493">
        <v>54</v>
      </c>
      <c r="E493" t="s">
        <v>34</v>
      </c>
      <c r="F493" t="s">
        <v>37</v>
      </c>
      <c r="G493">
        <v>29110</v>
      </c>
      <c r="H493" t="s">
        <v>14</v>
      </c>
      <c r="I493" s="1">
        <v>44859</v>
      </c>
    </row>
    <row r="494" spans="1:9" x14ac:dyDescent="0.3">
      <c r="A494" t="s">
        <v>1008</v>
      </c>
      <c r="B494" t="s">
        <v>1009</v>
      </c>
      <c r="C494" t="s">
        <v>11</v>
      </c>
      <c r="D494">
        <v>27</v>
      </c>
      <c r="E494" t="s">
        <v>30</v>
      </c>
      <c r="F494" t="s">
        <v>13</v>
      </c>
      <c r="G494">
        <v>99141</v>
      </c>
      <c r="H494" t="s">
        <v>14</v>
      </c>
      <c r="I494" s="1">
        <v>45393</v>
      </c>
    </row>
    <row r="495" spans="1:9" x14ac:dyDescent="0.3">
      <c r="A495" t="s">
        <v>1010</v>
      </c>
      <c r="B495" t="s">
        <v>1011</v>
      </c>
      <c r="C495" t="s">
        <v>17</v>
      </c>
      <c r="D495">
        <v>27</v>
      </c>
      <c r="E495" t="s">
        <v>34</v>
      </c>
      <c r="F495" t="s">
        <v>27</v>
      </c>
      <c r="G495">
        <v>32115</v>
      </c>
      <c r="H495" t="s">
        <v>14</v>
      </c>
      <c r="I495" s="1">
        <v>44267</v>
      </c>
    </row>
    <row r="496" spans="1:9" x14ac:dyDescent="0.3">
      <c r="A496" t="s">
        <v>1012</v>
      </c>
      <c r="B496" t="s">
        <v>1013</v>
      </c>
      <c r="C496" t="s">
        <v>11</v>
      </c>
      <c r="D496">
        <v>36</v>
      </c>
      <c r="E496" t="s">
        <v>34</v>
      </c>
      <c r="F496" t="s">
        <v>31</v>
      </c>
      <c r="G496">
        <v>59062</v>
      </c>
      <c r="H496" t="s">
        <v>14</v>
      </c>
      <c r="I496" s="1">
        <v>44585</v>
      </c>
    </row>
    <row r="497" spans="1:9" x14ac:dyDescent="0.3">
      <c r="A497" t="s">
        <v>1014</v>
      </c>
      <c r="B497" t="s">
        <v>1015</v>
      </c>
      <c r="C497" t="s">
        <v>11</v>
      </c>
      <c r="D497">
        <v>34</v>
      </c>
      <c r="E497" t="s">
        <v>30</v>
      </c>
      <c r="F497" t="s">
        <v>31</v>
      </c>
      <c r="G497">
        <v>42911</v>
      </c>
      <c r="H497" t="s">
        <v>20</v>
      </c>
      <c r="I497" s="1">
        <v>42920</v>
      </c>
    </row>
    <row r="498" spans="1:9" x14ac:dyDescent="0.3">
      <c r="A498" t="s">
        <v>1016</v>
      </c>
      <c r="B498" t="s">
        <v>1017</v>
      </c>
      <c r="C498" t="s">
        <v>11</v>
      </c>
      <c r="D498">
        <v>38</v>
      </c>
      <c r="E498" t="s">
        <v>18</v>
      </c>
      <c r="F498" t="s">
        <v>23</v>
      </c>
      <c r="G498">
        <v>124061</v>
      </c>
      <c r="H498" t="s">
        <v>20</v>
      </c>
      <c r="I498" s="1">
        <v>45451</v>
      </c>
    </row>
    <row r="499" spans="1:9" x14ac:dyDescent="0.3">
      <c r="A499" t="s">
        <v>1018</v>
      </c>
      <c r="B499" t="s">
        <v>1019</v>
      </c>
      <c r="C499" t="s">
        <v>17</v>
      </c>
      <c r="D499">
        <v>31</v>
      </c>
      <c r="E499" t="s">
        <v>18</v>
      </c>
      <c r="F499" t="s">
        <v>19</v>
      </c>
      <c r="G499">
        <v>52556</v>
      </c>
      <c r="H499" t="s">
        <v>20</v>
      </c>
      <c r="I499" s="1">
        <v>42561</v>
      </c>
    </row>
    <row r="500" spans="1:9" x14ac:dyDescent="0.3">
      <c r="A500" t="s">
        <v>1020</v>
      </c>
      <c r="B500" t="s">
        <v>1021</v>
      </c>
      <c r="C500" t="s">
        <v>11</v>
      </c>
      <c r="D500">
        <v>26</v>
      </c>
      <c r="E500" t="s">
        <v>34</v>
      </c>
      <c r="F500" t="s">
        <v>23</v>
      </c>
      <c r="G500">
        <v>148335</v>
      </c>
      <c r="H500" t="s">
        <v>14</v>
      </c>
      <c r="I500" s="1">
        <v>45443</v>
      </c>
    </row>
    <row r="501" spans="1:9" x14ac:dyDescent="0.3">
      <c r="A501" t="s">
        <v>1022</v>
      </c>
      <c r="B501" t="s">
        <v>1023</v>
      </c>
      <c r="C501" t="s">
        <v>17</v>
      </c>
      <c r="D501">
        <v>63</v>
      </c>
      <c r="E501" t="s">
        <v>34</v>
      </c>
      <c r="F501" t="s">
        <v>31</v>
      </c>
      <c r="G501">
        <v>21969</v>
      </c>
      <c r="H501" t="s">
        <v>20</v>
      </c>
      <c r="I501" s="1">
        <v>45488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8F52E-3B0C-453A-BFDC-86C55327172B}">
  <dimension ref="A1:P501"/>
  <sheetViews>
    <sheetView topLeftCell="C1" zoomScale="160" zoomScaleNormal="160" workbookViewId="0">
      <pane ySplit="1" topLeftCell="A2" activePane="bottomLeft" state="frozen"/>
      <selection pane="bottomLeft" activeCell="K2" sqref="K2"/>
    </sheetView>
  </sheetViews>
  <sheetFormatPr defaultRowHeight="14.4" x14ac:dyDescent="0.3"/>
  <cols>
    <col min="1" max="1" width="13.109375" bestFit="1" customWidth="1"/>
    <col min="2" max="2" width="21.44140625" bestFit="1" customWidth="1"/>
    <col min="3" max="3" width="9.33203125" bestFit="1" customWidth="1"/>
    <col min="4" max="4" width="6.21875" bestFit="1" customWidth="1"/>
    <col min="5" max="5" width="8.77734375" bestFit="1" customWidth="1"/>
    <col min="6" max="6" width="12.88671875" bestFit="1" customWidth="1"/>
    <col min="7" max="7" width="9.44140625" bestFit="1" customWidth="1"/>
    <col min="8" max="8" width="19.6640625" bestFit="1" customWidth="1"/>
    <col min="9" max="9" width="14.33203125" bestFit="1" customWidth="1"/>
    <col min="10" max="10" width="13.33203125" bestFit="1" customWidth="1"/>
    <col min="11" max="11" width="7.77734375" bestFit="1" customWidth="1"/>
    <col min="12" max="12" width="8.77734375" bestFit="1" customWidth="1"/>
    <col min="13" max="13" width="16.33203125" bestFit="1" customWidth="1"/>
    <col min="14" max="14" width="6.88671875" bestFit="1" customWidth="1"/>
    <col min="15" max="15" width="19" bestFit="1" customWidth="1"/>
    <col min="16" max="16" width="15.44140625" bestFit="1" customWidth="1"/>
  </cols>
  <sheetData>
    <row r="1" spans="1:16" x14ac:dyDescent="0.3">
      <c r="A1" t="s">
        <v>0</v>
      </c>
      <c r="B1" t="s">
        <v>1</v>
      </c>
      <c r="C1" t="s">
        <v>2</v>
      </c>
      <c r="D1" t="s">
        <v>3</v>
      </c>
      <c r="E1" t="s">
        <v>4</v>
      </c>
      <c r="F1" t="s">
        <v>5</v>
      </c>
      <c r="G1" t="s">
        <v>6</v>
      </c>
      <c r="H1" t="s">
        <v>7</v>
      </c>
      <c r="I1" t="s">
        <v>8</v>
      </c>
      <c r="J1" t="s">
        <v>1024</v>
      </c>
      <c r="K1" t="s">
        <v>1025</v>
      </c>
      <c r="L1" t="s">
        <v>1026</v>
      </c>
      <c r="M1" t="s">
        <v>1027</v>
      </c>
      <c r="N1" t="s">
        <v>1059</v>
      </c>
      <c r="O1" t="s">
        <v>1060</v>
      </c>
      <c r="P1" t="s">
        <v>1061</v>
      </c>
    </row>
    <row r="2" spans="1:16" x14ac:dyDescent="0.3">
      <c r="A2" s="2" t="s">
        <v>9</v>
      </c>
      <c r="B2" s="2" t="s">
        <v>1028</v>
      </c>
      <c r="C2" s="2" t="s">
        <v>11</v>
      </c>
      <c r="D2">
        <v>38</v>
      </c>
      <c r="E2" s="2" t="s">
        <v>12</v>
      </c>
      <c r="F2" s="2" t="s">
        <v>13</v>
      </c>
      <c r="G2">
        <v>191672</v>
      </c>
      <c r="H2" s="2" t="s">
        <v>14</v>
      </c>
      <c r="I2" s="3">
        <v>45041</v>
      </c>
      <c r="J2" t="s">
        <v>1029</v>
      </c>
      <c r="K2">
        <v>3</v>
      </c>
      <c r="L2" t="s">
        <v>1030</v>
      </c>
      <c r="M2" t="s">
        <v>1031</v>
      </c>
      <c r="N2">
        <v>2023</v>
      </c>
      <c r="O2" t="s">
        <v>1029</v>
      </c>
      <c r="P2">
        <v>2</v>
      </c>
    </row>
    <row r="3" spans="1:16" x14ac:dyDescent="0.3">
      <c r="A3" s="2" t="s">
        <v>15</v>
      </c>
      <c r="B3" s="2" t="s">
        <v>16</v>
      </c>
      <c r="C3" s="2" t="s">
        <v>17</v>
      </c>
      <c r="D3">
        <v>49</v>
      </c>
      <c r="E3" s="2" t="s">
        <v>18</v>
      </c>
      <c r="F3" s="2" t="s">
        <v>19</v>
      </c>
      <c r="G3">
        <v>186472</v>
      </c>
      <c r="H3" s="2" t="s">
        <v>20</v>
      </c>
      <c r="I3" s="3">
        <v>44331</v>
      </c>
      <c r="J3" t="s">
        <v>1032</v>
      </c>
      <c r="K3">
        <v>5</v>
      </c>
      <c r="L3" t="s">
        <v>1033</v>
      </c>
      <c r="M3" t="s">
        <v>1031</v>
      </c>
      <c r="N3">
        <v>2021</v>
      </c>
      <c r="O3" t="s">
        <v>1032</v>
      </c>
      <c r="P3">
        <v>3</v>
      </c>
    </row>
    <row r="4" spans="1:16" x14ac:dyDescent="0.3">
      <c r="A4" s="2" t="s">
        <v>21</v>
      </c>
      <c r="B4" s="2" t="s">
        <v>22</v>
      </c>
      <c r="C4" s="2" t="s">
        <v>11</v>
      </c>
      <c r="D4">
        <v>40</v>
      </c>
      <c r="E4" s="2" t="s">
        <v>12</v>
      </c>
      <c r="F4" s="2" t="s">
        <v>23</v>
      </c>
      <c r="G4">
        <v>155566</v>
      </c>
      <c r="H4" s="2" t="s">
        <v>24</v>
      </c>
      <c r="I4" s="3">
        <v>43438</v>
      </c>
      <c r="J4" t="s">
        <v>1029</v>
      </c>
      <c r="K4">
        <v>7</v>
      </c>
      <c r="L4" t="s">
        <v>1033</v>
      </c>
      <c r="M4" t="s">
        <v>1031</v>
      </c>
      <c r="N4">
        <v>2018</v>
      </c>
      <c r="O4" t="s">
        <v>1029</v>
      </c>
      <c r="P4">
        <v>2</v>
      </c>
    </row>
    <row r="5" spans="1:16" x14ac:dyDescent="0.3">
      <c r="A5" s="2" t="s">
        <v>25</v>
      </c>
      <c r="B5" s="2" t="s">
        <v>26</v>
      </c>
      <c r="C5" s="2" t="s">
        <v>11</v>
      </c>
      <c r="D5">
        <v>50</v>
      </c>
      <c r="E5" s="2" t="s">
        <v>12</v>
      </c>
      <c r="F5" s="2" t="s">
        <v>27</v>
      </c>
      <c r="G5">
        <v>142744</v>
      </c>
      <c r="H5" s="2" t="s">
        <v>14</v>
      </c>
      <c r="I5" s="3">
        <v>44494</v>
      </c>
      <c r="J5" t="s">
        <v>1032</v>
      </c>
      <c r="K5">
        <v>4</v>
      </c>
      <c r="L5" t="s">
        <v>1033</v>
      </c>
      <c r="M5" t="s">
        <v>1034</v>
      </c>
      <c r="N5">
        <v>2021</v>
      </c>
      <c r="O5" t="s">
        <v>1032</v>
      </c>
      <c r="P5">
        <v>3</v>
      </c>
    </row>
    <row r="6" spans="1:16" x14ac:dyDescent="0.3">
      <c r="A6" s="2" t="s">
        <v>28</v>
      </c>
      <c r="B6" s="2" t="s">
        <v>29</v>
      </c>
      <c r="C6" s="2" t="s">
        <v>11</v>
      </c>
      <c r="D6">
        <v>20</v>
      </c>
      <c r="E6" s="2" t="s">
        <v>30</v>
      </c>
      <c r="F6" s="2" t="s">
        <v>31</v>
      </c>
      <c r="G6">
        <v>109431</v>
      </c>
      <c r="H6" s="2" t="s">
        <v>20</v>
      </c>
      <c r="I6" s="3">
        <v>43309</v>
      </c>
      <c r="J6" t="s">
        <v>1035</v>
      </c>
      <c r="K6">
        <v>7</v>
      </c>
      <c r="L6" t="s">
        <v>1033</v>
      </c>
      <c r="M6" t="s">
        <v>1034</v>
      </c>
      <c r="N6">
        <v>2018</v>
      </c>
      <c r="O6" t="s">
        <v>1035</v>
      </c>
      <c r="P6">
        <v>1</v>
      </c>
    </row>
    <row r="7" spans="1:16" x14ac:dyDescent="0.3">
      <c r="A7" s="2" t="s">
        <v>32</v>
      </c>
      <c r="B7" s="2" t="s">
        <v>33</v>
      </c>
      <c r="C7" s="2" t="s">
        <v>17</v>
      </c>
      <c r="D7">
        <v>35</v>
      </c>
      <c r="E7" s="2" t="s">
        <v>34</v>
      </c>
      <c r="F7" s="2" t="s">
        <v>23</v>
      </c>
      <c r="G7">
        <v>63001</v>
      </c>
      <c r="H7" s="2" t="s">
        <v>14</v>
      </c>
      <c r="I7" s="3">
        <v>42520</v>
      </c>
      <c r="J7" t="s">
        <v>1029</v>
      </c>
      <c r="K7">
        <v>10</v>
      </c>
      <c r="L7" t="s">
        <v>1036</v>
      </c>
      <c r="M7" t="s">
        <v>1037</v>
      </c>
      <c r="N7">
        <v>2016</v>
      </c>
      <c r="O7" t="s">
        <v>1029</v>
      </c>
      <c r="P7">
        <v>2</v>
      </c>
    </row>
    <row r="8" spans="1:16" x14ac:dyDescent="0.3">
      <c r="A8" s="2" t="s">
        <v>35</v>
      </c>
      <c r="B8" s="2" t="s">
        <v>36</v>
      </c>
      <c r="C8" s="2" t="s">
        <v>11</v>
      </c>
      <c r="D8">
        <v>42</v>
      </c>
      <c r="E8" s="2" t="s">
        <v>12</v>
      </c>
      <c r="F8" s="2" t="s">
        <v>37</v>
      </c>
      <c r="G8">
        <v>87364</v>
      </c>
      <c r="H8" s="2" t="s">
        <v>20</v>
      </c>
      <c r="I8" s="3">
        <v>43026</v>
      </c>
      <c r="J8" t="s">
        <v>1029</v>
      </c>
      <c r="K8">
        <v>8</v>
      </c>
      <c r="L8" t="s">
        <v>1036</v>
      </c>
      <c r="M8" t="s">
        <v>1037</v>
      </c>
      <c r="N8">
        <v>2017</v>
      </c>
      <c r="O8" t="s">
        <v>1029</v>
      </c>
      <c r="P8">
        <v>2</v>
      </c>
    </row>
    <row r="9" spans="1:16" x14ac:dyDescent="0.3">
      <c r="A9" s="2" t="s">
        <v>38</v>
      </c>
      <c r="B9" s="2" t="s">
        <v>39</v>
      </c>
      <c r="C9" s="2" t="s">
        <v>11</v>
      </c>
      <c r="D9">
        <v>59</v>
      </c>
      <c r="E9" s="2" t="s">
        <v>12</v>
      </c>
      <c r="F9" s="2" t="s">
        <v>37</v>
      </c>
      <c r="G9">
        <v>144988</v>
      </c>
      <c r="H9" s="2" t="s">
        <v>14</v>
      </c>
      <c r="I9" s="3">
        <v>45448</v>
      </c>
      <c r="J9" t="s">
        <v>1032</v>
      </c>
      <c r="K9">
        <v>2</v>
      </c>
      <c r="L9" t="s">
        <v>1030</v>
      </c>
      <c r="M9" t="s">
        <v>1034</v>
      </c>
      <c r="N9">
        <v>2024</v>
      </c>
      <c r="O9" t="s">
        <v>1032</v>
      </c>
      <c r="P9">
        <v>3</v>
      </c>
    </row>
    <row r="10" spans="1:16" x14ac:dyDescent="0.3">
      <c r="A10" s="2" t="s">
        <v>40</v>
      </c>
      <c r="B10" s="2" t="s">
        <v>41</v>
      </c>
      <c r="C10" s="2" t="s">
        <v>11</v>
      </c>
      <c r="D10">
        <v>48</v>
      </c>
      <c r="E10" s="2" t="s">
        <v>30</v>
      </c>
      <c r="F10" s="2" t="s">
        <v>42</v>
      </c>
      <c r="G10">
        <v>65028</v>
      </c>
      <c r="H10" s="2" t="s">
        <v>20</v>
      </c>
      <c r="I10" s="3">
        <v>43507</v>
      </c>
      <c r="J10" t="s">
        <v>1032</v>
      </c>
      <c r="K10">
        <v>7</v>
      </c>
      <c r="L10" t="s">
        <v>1033</v>
      </c>
      <c r="M10" t="s">
        <v>1037</v>
      </c>
      <c r="N10">
        <v>2019</v>
      </c>
      <c r="O10" t="s">
        <v>1032</v>
      </c>
      <c r="P10">
        <v>3</v>
      </c>
    </row>
    <row r="11" spans="1:16" x14ac:dyDescent="0.3">
      <c r="A11" s="2" t="s">
        <v>43</v>
      </c>
      <c r="B11" s="2" t="s">
        <v>44</v>
      </c>
      <c r="C11" s="2" t="s">
        <v>17</v>
      </c>
      <c r="D11">
        <v>71</v>
      </c>
      <c r="E11" s="2" t="s">
        <v>30</v>
      </c>
      <c r="F11" s="2" t="s">
        <v>19</v>
      </c>
      <c r="G11">
        <v>188645</v>
      </c>
      <c r="H11" s="2" t="s">
        <v>20</v>
      </c>
      <c r="I11" s="3">
        <v>42405</v>
      </c>
      <c r="J11" t="s">
        <v>1038</v>
      </c>
      <c r="K11">
        <v>10</v>
      </c>
      <c r="L11" t="s">
        <v>1036</v>
      </c>
      <c r="M11" t="s">
        <v>1031</v>
      </c>
      <c r="N11">
        <v>2016</v>
      </c>
      <c r="O11" t="s">
        <v>1038</v>
      </c>
      <c r="P11">
        <v>4</v>
      </c>
    </row>
    <row r="12" spans="1:16" x14ac:dyDescent="0.3">
      <c r="A12" s="2" t="s">
        <v>45</v>
      </c>
      <c r="B12" s="2" t="s">
        <v>46</v>
      </c>
      <c r="C12" s="2" t="s">
        <v>11</v>
      </c>
      <c r="D12">
        <v>20</v>
      </c>
      <c r="E12" s="2" t="s">
        <v>34</v>
      </c>
      <c r="F12" s="2" t="s">
        <v>13</v>
      </c>
      <c r="G12">
        <v>151878</v>
      </c>
      <c r="H12" s="2" t="s">
        <v>24</v>
      </c>
      <c r="I12" s="3">
        <v>42781</v>
      </c>
      <c r="J12" t="s">
        <v>1035</v>
      </c>
      <c r="K12">
        <v>9</v>
      </c>
      <c r="L12" t="s">
        <v>1036</v>
      </c>
      <c r="M12" t="s">
        <v>1031</v>
      </c>
      <c r="N12">
        <v>2017</v>
      </c>
      <c r="O12" t="s">
        <v>1035</v>
      </c>
      <c r="P12">
        <v>1</v>
      </c>
    </row>
    <row r="13" spans="1:16" x14ac:dyDescent="0.3">
      <c r="A13" s="2" t="s">
        <v>47</v>
      </c>
      <c r="B13" s="2" t="s">
        <v>48</v>
      </c>
      <c r="C13" s="2" t="s">
        <v>11</v>
      </c>
      <c r="D13">
        <v>57</v>
      </c>
      <c r="E13" s="2" t="s">
        <v>30</v>
      </c>
      <c r="F13" s="2" t="s">
        <v>19</v>
      </c>
      <c r="G13">
        <v>144343</v>
      </c>
      <c r="H13" s="2" t="s">
        <v>20</v>
      </c>
      <c r="I13" s="3">
        <v>45280</v>
      </c>
      <c r="J13" t="s">
        <v>1032</v>
      </c>
      <c r="K13">
        <v>2</v>
      </c>
      <c r="L13" t="s">
        <v>1030</v>
      </c>
      <c r="M13" t="s">
        <v>1034</v>
      </c>
      <c r="N13">
        <v>2023</v>
      </c>
      <c r="O13" t="s">
        <v>1032</v>
      </c>
      <c r="P13">
        <v>3</v>
      </c>
    </row>
    <row r="14" spans="1:16" x14ac:dyDescent="0.3">
      <c r="A14" s="2" t="s">
        <v>49</v>
      </c>
      <c r="B14" s="2" t="s">
        <v>50</v>
      </c>
      <c r="C14" s="2" t="s">
        <v>11</v>
      </c>
      <c r="D14">
        <v>63</v>
      </c>
      <c r="E14" s="2" t="s">
        <v>18</v>
      </c>
      <c r="F14" s="2" t="s">
        <v>19</v>
      </c>
      <c r="G14">
        <v>148301</v>
      </c>
      <c r="H14" s="2" t="s">
        <v>14</v>
      </c>
      <c r="I14" s="3">
        <v>45018</v>
      </c>
      <c r="J14" t="s">
        <v>1038</v>
      </c>
      <c r="K14">
        <v>3</v>
      </c>
      <c r="L14" t="s">
        <v>1030</v>
      </c>
      <c r="M14" t="s">
        <v>1034</v>
      </c>
      <c r="N14">
        <v>2023</v>
      </c>
      <c r="O14" t="s">
        <v>1038</v>
      </c>
      <c r="P14">
        <v>4</v>
      </c>
    </row>
    <row r="15" spans="1:16" x14ac:dyDescent="0.3">
      <c r="A15" s="2" t="s">
        <v>51</v>
      </c>
      <c r="B15" s="2" t="s">
        <v>52</v>
      </c>
      <c r="C15" s="2" t="s">
        <v>11</v>
      </c>
      <c r="D15">
        <v>41</v>
      </c>
      <c r="E15" s="2" t="s">
        <v>30</v>
      </c>
      <c r="F15" s="2" t="s">
        <v>19</v>
      </c>
      <c r="G15">
        <v>146295</v>
      </c>
      <c r="H15" s="2" t="s">
        <v>20</v>
      </c>
      <c r="I15" s="3">
        <v>42960</v>
      </c>
      <c r="J15" t="s">
        <v>1029</v>
      </c>
      <c r="K15">
        <v>8</v>
      </c>
      <c r="L15" t="s">
        <v>1036</v>
      </c>
      <c r="M15" t="s">
        <v>1034</v>
      </c>
      <c r="N15">
        <v>2017</v>
      </c>
      <c r="O15" t="s">
        <v>1029</v>
      </c>
      <c r="P15">
        <v>2</v>
      </c>
    </row>
    <row r="16" spans="1:16" x14ac:dyDescent="0.3">
      <c r="A16" s="2" t="s">
        <v>53</v>
      </c>
      <c r="B16" s="2" t="s">
        <v>54</v>
      </c>
      <c r="C16" s="2" t="s">
        <v>17</v>
      </c>
      <c r="D16">
        <v>67</v>
      </c>
      <c r="E16" s="2" t="s">
        <v>18</v>
      </c>
      <c r="F16" s="2" t="s">
        <v>19</v>
      </c>
      <c r="G16">
        <v>180829</v>
      </c>
      <c r="H16" s="2" t="s">
        <v>20</v>
      </c>
      <c r="I16" s="3">
        <v>43673</v>
      </c>
      <c r="J16" t="s">
        <v>1038</v>
      </c>
      <c r="K16">
        <v>6</v>
      </c>
      <c r="L16" t="s">
        <v>1033</v>
      </c>
      <c r="M16" t="s">
        <v>1031</v>
      </c>
      <c r="N16">
        <v>2019</v>
      </c>
      <c r="O16" t="s">
        <v>1038</v>
      </c>
      <c r="P16">
        <v>4</v>
      </c>
    </row>
    <row r="17" spans="1:16" x14ac:dyDescent="0.3">
      <c r="A17" s="2" t="s">
        <v>55</v>
      </c>
      <c r="B17" s="2" t="s">
        <v>56</v>
      </c>
      <c r="C17" s="2" t="s">
        <v>11</v>
      </c>
      <c r="D17">
        <v>49</v>
      </c>
      <c r="E17" s="2" t="s">
        <v>34</v>
      </c>
      <c r="F17" s="2" t="s">
        <v>27</v>
      </c>
      <c r="G17">
        <v>54636</v>
      </c>
      <c r="H17" s="2" t="s">
        <v>14</v>
      </c>
      <c r="I17" s="3">
        <v>43643</v>
      </c>
      <c r="J17" t="s">
        <v>1032</v>
      </c>
      <c r="K17">
        <v>7</v>
      </c>
      <c r="L17" t="s">
        <v>1033</v>
      </c>
      <c r="M17" t="s">
        <v>1037</v>
      </c>
      <c r="N17">
        <v>2019</v>
      </c>
      <c r="O17" t="s">
        <v>1032</v>
      </c>
      <c r="P17">
        <v>3</v>
      </c>
    </row>
    <row r="18" spans="1:16" x14ac:dyDescent="0.3">
      <c r="A18" s="2" t="s">
        <v>57</v>
      </c>
      <c r="B18" s="2" t="s">
        <v>58</v>
      </c>
      <c r="C18" s="2" t="s">
        <v>17</v>
      </c>
      <c r="D18">
        <v>64</v>
      </c>
      <c r="E18" s="2" t="s">
        <v>34</v>
      </c>
      <c r="F18" s="2" t="s">
        <v>27</v>
      </c>
      <c r="G18">
        <v>199352</v>
      </c>
      <c r="H18" s="2" t="s">
        <v>14</v>
      </c>
      <c r="I18" s="3">
        <v>44375</v>
      </c>
      <c r="J18" t="s">
        <v>1038</v>
      </c>
      <c r="K18">
        <v>5</v>
      </c>
      <c r="L18" t="s">
        <v>1033</v>
      </c>
      <c r="M18" t="s">
        <v>1031</v>
      </c>
      <c r="N18">
        <v>2021</v>
      </c>
      <c r="O18" t="s">
        <v>1038</v>
      </c>
      <c r="P18">
        <v>4</v>
      </c>
    </row>
    <row r="19" spans="1:16" x14ac:dyDescent="0.3">
      <c r="A19" s="2" t="s">
        <v>59</v>
      </c>
      <c r="B19" s="2" t="s">
        <v>60</v>
      </c>
      <c r="C19" s="2" t="s">
        <v>17</v>
      </c>
      <c r="D19">
        <v>39</v>
      </c>
      <c r="E19" s="2" t="s">
        <v>34</v>
      </c>
      <c r="F19" s="2" t="s">
        <v>42</v>
      </c>
      <c r="G19">
        <v>44262</v>
      </c>
      <c r="H19" s="2" t="s">
        <v>24</v>
      </c>
      <c r="I19" s="3">
        <v>45728</v>
      </c>
      <c r="J19" t="s">
        <v>1029</v>
      </c>
      <c r="K19">
        <v>1</v>
      </c>
      <c r="L19" t="s">
        <v>1039</v>
      </c>
      <c r="M19" t="s">
        <v>1037</v>
      </c>
      <c r="N19">
        <v>2025</v>
      </c>
      <c r="O19" t="s">
        <v>1029</v>
      </c>
      <c r="P19">
        <v>2</v>
      </c>
    </row>
    <row r="20" spans="1:16" x14ac:dyDescent="0.3">
      <c r="A20" s="2" t="s">
        <v>61</v>
      </c>
      <c r="B20" s="2" t="s">
        <v>62</v>
      </c>
      <c r="C20" s="2" t="s">
        <v>17</v>
      </c>
      <c r="D20">
        <v>40</v>
      </c>
      <c r="E20" s="2" t="s">
        <v>34</v>
      </c>
      <c r="F20" s="2" t="s">
        <v>23</v>
      </c>
      <c r="G20">
        <v>100435</v>
      </c>
      <c r="H20" s="2" t="s">
        <v>20</v>
      </c>
      <c r="I20" s="3">
        <v>44456</v>
      </c>
      <c r="J20" t="s">
        <v>1029</v>
      </c>
      <c r="K20">
        <v>4</v>
      </c>
      <c r="L20" t="s">
        <v>1033</v>
      </c>
      <c r="M20" t="s">
        <v>1034</v>
      </c>
      <c r="N20">
        <v>2021</v>
      </c>
      <c r="O20" t="s">
        <v>1029</v>
      </c>
      <c r="P20">
        <v>2</v>
      </c>
    </row>
    <row r="21" spans="1:16" x14ac:dyDescent="0.3">
      <c r="A21" s="2" t="s">
        <v>63</v>
      </c>
      <c r="B21" s="2" t="s">
        <v>64</v>
      </c>
      <c r="C21" s="2" t="s">
        <v>11</v>
      </c>
      <c r="D21">
        <v>19</v>
      </c>
      <c r="E21" s="2" t="s">
        <v>34</v>
      </c>
      <c r="F21" s="2" t="s">
        <v>37</v>
      </c>
      <c r="G21">
        <v>148583</v>
      </c>
      <c r="H21" s="2" t="s">
        <v>20</v>
      </c>
      <c r="I21" s="3">
        <v>45058</v>
      </c>
      <c r="J21" t="s">
        <v>1035</v>
      </c>
      <c r="K21">
        <v>3</v>
      </c>
      <c r="L21" t="s">
        <v>1030</v>
      </c>
      <c r="M21" t="s">
        <v>1034</v>
      </c>
      <c r="N21">
        <v>2023</v>
      </c>
      <c r="O21" t="s">
        <v>1035</v>
      </c>
      <c r="P21">
        <v>1</v>
      </c>
    </row>
    <row r="22" spans="1:16" x14ac:dyDescent="0.3">
      <c r="A22" s="2" t="s">
        <v>65</v>
      </c>
      <c r="B22" s="2" t="s">
        <v>66</v>
      </c>
      <c r="C22" s="2" t="s">
        <v>17</v>
      </c>
      <c r="D22">
        <v>44</v>
      </c>
      <c r="E22" s="2" t="s">
        <v>18</v>
      </c>
      <c r="F22" s="2" t="s">
        <v>19</v>
      </c>
      <c r="G22">
        <v>189269</v>
      </c>
      <c r="H22" s="2" t="s">
        <v>14</v>
      </c>
      <c r="I22" s="3">
        <v>45414</v>
      </c>
      <c r="J22" t="s">
        <v>1029</v>
      </c>
      <c r="K22">
        <v>2</v>
      </c>
      <c r="L22" t="s">
        <v>1030</v>
      </c>
      <c r="M22" t="s">
        <v>1031</v>
      </c>
      <c r="N22">
        <v>2024</v>
      </c>
      <c r="O22" t="s">
        <v>1029</v>
      </c>
      <c r="P22">
        <v>2</v>
      </c>
    </row>
    <row r="23" spans="1:16" x14ac:dyDescent="0.3">
      <c r="A23" s="2" t="s">
        <v>67</v>
      </c>
      <c r="B23" s="2" t="s">
        <v>68</v>
      </c>
      <c r="C23" s="2" t="s">
        <v>11</v>
      </c>
      <c r="D23">
        <v>59</v>
      </c>
      <c r="E23" s="2" t="s">
        <v>18</v>
      </c>
      <c r="F23" s="2" t="s">
        <v>42</v>
      </c>
      <c r="G23">
        <v>61844</v>
      </c>
      <c r="H23" s="2" t="s">
        <v>20</v>
      </c>
      <c r="I23" s="3">
        <v>45118</v>
      </c>
      <c r="J23" t="s">
        <v>1032</v>
      </c>
      <c r="K23">
        <v>2</v>
      </c>
      <c r="L23" t="s">
        <v>1030</v>
      </c>
      <c r="M23" t="s">
        <v>1037</v>
      </c>
      <c r="N23">
        <v>2023</v>
      </c>
      <c r="O23" t="s">
        <v>1032</v>
      </c>
      <c r="P23">
        <v>3</v>
      </c>
    </row>
    <row r="24" spans="1:16" x14ac:dyDescent="0.3">
      <c r="A24" s="2" t="s">
        <v>69</v>
      </c>
      <c r="B24" s="2" t="s">
        <v>70</v>
      </c>
      <c r="C24" s="2" t="s">
        <v>17</v>
      </c>
      <c r="D24">
        <v>19</v>
      </c>
      <c r="E24" s="2" t="s">
        <v>34</v>
      </c>
      <c r="F24" s="2" t="s">
        <v>23</v>
      </c>
      <c r="G24">
        <v>84754</v>
      </c>
      <c r="H24" s="2" t="s">
        <v>14</v>
      </c>
      <c r="I24" s="3">
        <v>44745</v>
      </c>
      <c r="J24" t="s">
        <v>1035</v>
      </c>
      <c r="K24">
        <v>4</v>
      </c>
      <c r="L24" t="s">
        <v>1033</v>
      </c>
      <c r="M24" t="s">
        <v>1037</v>
      </c>
      <c r="N24">
        <v>2022</v>
      </c>
      <c r="O24" t="s">
        <v>1035</v>
      </c>
      <c r="P24">
        <v>1</v>
      </c>
    </row>
    <row r="25" spans="1:16" x14ac:dyDescent="0.3">
      <c r="A25" s="2" t="s">
        <v>71</v>
      </c>
      <c r="B25" s="2" t="s">
        <v>72</v>
      </c>
      <c r="C25" s="2" t="s">
        <v>17</v>
      </c>
      <c r="D25">
        <v>43</v>
      </c>
      <c r="E25" s="2" t="s">
        <v>30</v>
      </c>
      <c r="F25" s="2" t="s">
        <v>37</v>
      </c>
      <c r="G25">
        <v>185229</v>
      </c>
      <c r="H25" s="2" t="s">
        <v>20</v>
      </c>
      <c r="I25" s="3">
        <v>42765</v>
      </c>
      <c r="J25" t="s">
        <v>1029</v>
      </c>
      <c r="K25">
        <v>9</v>
      </c>
      <c r="L25" t="s">
        <v>1036</v>
      </c>
      <c r="M25" t="s">
        <v>1031</v>
      </c>
      <c r="N25">
        <v>2017</v>
      </c>
      <c r="O25" t="s">
        <v>1029</v>
      </c>
      <c r="P25">
        <v>2</v>
      </c>
    </row>
    <row r="26" spans="1:16" x14ac:dyDescent="0.3">
      <c r="A26" s="2" t="s">
        <v>73</v>
      </c>
      <c r="B26" s="2" t="s">
        <v>74</v>
      </c>
      <c r="C26" s="2" t="s">
        <v>17</v>
      </c>
      <c r="D26">
        <v>34</v>
      </c>
      <c r="E26" s="2" t="s">
        <v>12</v>
      </c>
      <c r="F26" s="2" t="s">
        <v>31</v>
      </c>
      <c r="G26">
        <v>97129</v>
      </c>
      <c r="H26" s="2" t="s">
        <v>14</v>
      </c>
      <c r="I26" s="3">
        <v>43718</v>
      </c>
      <c r="J26" t="s">
        <v>1029</v>
      </c>
      <c r="K26">
        <v>6</v>
      </c>
      <c r="L26" t="s">
        <v>1033</v>
      </c>
      <c r="M26" t="s">
        <v>1037</v>
      </c>
      <c r="N26">
        <v>2019</v>
      </c>
      <c r="O26" t="s">
        <v>1029</v>
      </c>
      <c r="P26">
        <v>2</v>
      </c>
    </row>
    <row r="27" spans="1:16" x14ac:dyDescent="0.3">
      <c r="A27" s="2" t="s">
        <v>75</v>
      </c>
      <c r="B27" s="2" t="s">
        <v>76</v>
      </c>
      <c r="C27" s="2" t="s">
        <v>17</v>
      </c>
      <c r="D27">
        <v>57</v>
      </c>
      <c r="E27" s="2" t="s">
        <v>34</v>
      </c>
      <c r="F27" s="2" t="s">
        <v>13</v>
      </c>
      <c r="G27">
        <v>60042</v>
      </c>
      <c r="H27" s="2" t="s">
        <v>20</v>
      </c>
      <c r="I27" s="3">
        <v>44469</v>
      </c>
      <c r="J27" t="s">
        <v>1032</v>
      </c>
      <c r="K27">
        <v>4</v>
      </c>
      <c r="L27" t="s">
        <v>1033</v>
      </c>
      <c r="M27" t="s">
        <v>1037</v>
      </c>
      <c r="N27">
        <v>2021</v>
      </c>
      <c r="O27" t="s">
        <v>1032</v>
      </c>
      <c r="P27">
        <v>3</v>
      </c>
    </row>
    <row r="28" spans="1:16" x14ac:dyDescent="0.3">
      <c r="A28" s="2" t="s">
        <v>77</v>
      </c>
      <c r="B28" s="2" t="s">
        <v>78</v>
      </c>
      <c r="C28" s="2" t="s">
        <v>17</v>
      </c>
      <c r="D28">
        <v>50</v>
      </c>
      <c r="E28" s="2" t="s">
        <v>30</v>
      </c>
      <c r="F28" s="2" t="s">
        <v>27</v>
      </c>
      <c r="G28">
        <v>81665</v>
      </c>
      <c r="H28" s="2" t="s">
        <v>24</v>
      </c>
      <c r="I28" s="3">
        <v>42607</v>
      </c>
      <c r="J28" t="s">
        <v>1032</v>
      </c>
      <c r="K28">
        <v>9</v>
      </c>
      <c r="L28" t="s">
        <v>1036</v>
      </c>
      <c r="M28" t="s">
        <v>1037</v>
      </c>
      <c r="N28">
        <v>2016</v>
      </c>
      <c r="O28" t="s">
        <v>1032</v>
      </c>
      <c r="P28">
        <v>3</v>
      </c>
    </row>
    <row r="29" spans="1:16" x14ac:dyDescent="0.3">
      <c r="A29" s="2" t="s">
        <v>79</v>
      </c>
      <c r="B29" s="2" t="s">
        <v>80</v>
      </c>
      <c r="C29" s="2" t="s">
        <v>17</v>
      </c>
      <c r="D29">
        <v>26</v>
      </c>
      <c r="E29" s="2" t="s">
        <v>12</v>
      </c>
      <c r="F29" s="2" t="s">
        <v>31</v>
      </c>
      <c r="G29">
        <v>136953</v>
      </c>
      <c r="H29" s="2" t="s">
        <v>14</v>
      </c>
      <c r="I29" s="3">
        <v>43698</v>
      </c>
      <c r="J29" t="s">
        <v>1035</v>
      </c>
      <c r="K29">
        <v>6</v>
      </c>
      <c r="L29" t="s">
        <v>1033</v>
      </c>
      <c r="M29" t="s">
        <v>1034</v>
      </c>
      <c r="N29">
        <v>2019</v>
      </c>
      <c r="O29" t="s">
        <v>1035</v>
      </c>
      <c r="P29">
        <v>1</v>
      </c>
    </row>
    <row r="30" spans="1:16" x14ac:dyDescent="0.3">
      <c r="A30" s="2" t="s">
        <v>81</v>
      </c>
      <c r="B30" s="2" t="s">
        <v>82</v>
      </c>
      <c r="C30" s="2" t="s">
        <v>17</v>
      </c>
      <c r="D30">
        <v>60</v>
      </c>
      <c r="E30" s="2" t="s">
        <v>34</v>
      </c>
      <c r="F30" s="2" t="s">
        <v>37</v>
      </c>
      <c r="G30">
        <v>178448</v>
      </c>
      <c r="H30" s="2" t="s">
        <v>24</v>
      </c>
      <c r="I30" s="3">
        <v>44834</v>
      </c>
      <c r="J30" t="s">
        <v>1032</v>
      </c>
      <c r="K30">
        <v>3</v>
      </c>
      <c r="L30" t="s">
        <v>1030</v>
      </c>
      <c r="M30" t="s">
        <v>1031</v>
      </c>
      <c r="N30">
        <v>2022</v>
      </c>
      <c r="O30" t="s">
        <v>1032</v>
      </c>
      <c r="P30">
        <v>3</v>
      </c>
    </row>
    <row r="31" spans="1:16" x14ac:dyDescent="0.3">
      <c r="A31" s="2" t="s">
        <v>83</v>
      </c>
      <c r="B31" s="2" t="s">
        <v>84</v>
      </c>
      <c r="C31" s="2" t="s">
        <v>17</v>
      </c>
      <c r="D31">
        <v>71</v>
      </c>
      <c r="E31" s="2" t="s">
        <v>34</v>
      </c>
      <c r="F31" s="2" t="s">
        <v>31</v>
      </c>
      <c r="G31">
        <v>165271</v>
      </c>
      <c r="H31" s="2" t="s">
        <v>14</v>
      </c>
      <c r="I31" s="3">
        <v>44109</v>
      </c>
      <c r="J31" t="s">
        <v>1038</v>
      </c>
      <c r="K31">
        <v>5</v>
      </c>
      <c r="L31" t="s">
        <v>1033</v>
      </c>
      <c r="M31" t="s">
        <v>1031</v>
      </c>
      <c r="N31">
        <v>2020</v>
      </c>
      <c r="O31" t="s">
        <v>1038</v>
      </c>
      <c r="P31">
        <v>4</v>
      </c>
    </row>
    <row r="32" spans="1:16" x14ac:dyDescent="0.3">
      <c r="A32" s="2" t="s">
        <v>85</v>
      </c>
      <c r="B32" s="2" t="s">
        <v>86</v>
      </c>
      <c r="C32" s="2" t="s">
        <v>11</v>
      </c>
      <c r="D32">
        <v>65</v>
      </c>
      <c r="E32" s="2" t="s">
        <v>18</v>
      </c>
      <c r="F32" s="2" t="s">
        <v>13</v>
      </c>
      <c r="G32">
        <v>138533</v>
      </c>
      <c r="H32" s="2" t="s">
        <v>20</v>
      </c>
      <c r="I32" s="3">
        <v>42742</v>
      </c>
      <c r="J32" t="s">
        <v>1038</v>
      </c>
      <c r="K32">
        <v>9</v>
      </c>
      <c r="L32" t="s">
        <v>1036</v>
      </c>
      <c r="M32" t="s">
        <v>1034</v>
      </c>
      <c r="N32">
        <v>2017</v>
      </c>
      <c r="O32" t="s">
        <v>1038</v>
      </c>
      <c r="P32">
        <v>4</v>
      </c>
    </row>
    <row r="33" spans="1:16" x14ac:dyDescent="0.3">
      <c r="A33" s="2" t="s">
        <v>87</v>
      </c>
      <c r="B33" s="2" t="s">
        <v>88</v>
      </c>
      <c r="C33" s="2" t="s">
        <v>11</v>
      </c>
      <c r="D33">
        <v>56</v>
      </c>
      <c r="E33" s="2" t="s">
        <v>12</v>
      </c>
      <c r="F33" s="2" t="s">
        <v>42</v>
      </c>
      <c r="G33">
        <v>93781</v>
      </c>
      <c r="H33" s="2" t="s">
        <v>20</v>
      </c>
      <c r="I33" s="3">
        <v>42565</v>
      </c>
      <c r="J33" t="s">
        <v>1032</v>
      </c>
      <c r="K33">
        <v>9</v>
      </c>
      <c r="L33" t="s">
        <v>1036</v>
      </c>
      <c r="M33" t="s">
        <v>1037</v>
      </c>
      <c r="N33">
        <v>2016</v>
      </c>
      <c r="O33" t="s">
        <v>1032</v>
      </c>
      <c r="P33">
        <v>3</v>
      </c>
    </row>
    <row r="34" spans="1:16" x14ac:dyDescent="0.3">
      <c r="A34" s="2" t="s">
        <v>89</v>
      </c>
      <c r="B34" s="2" t="s">
        <v>90</v>
      </c>
      <c r="C34" s="2" t="s">
        <v>17</v>
      </c>
      <c r="D34">
        <v>46</v>
      </c>
      <c r="E34" s="2" t="s">
        <v>12</v>
      </c>
      <c r="F34" s="2" t="s">
        <v>37</v>
      </c>
      <c r="G34">
        <v>86262</v>
      </c>
      <c r="H34" s="2" t="s">
        <v>14</v>
      </c>
      <c r="I34" s="3">
        <v>43698</v>
      </c>
      <c r="J34" t="s">
        <v>1032</v>
      </c>
      <c r="K34">
        <v>6</v>
      </c>
      <c r="L34" t="s">
        <v>1033</v>
      </c>
      <c r="M34" t="s">
        <v>1037</v>
      </c>
      <c r="N34">
        <v>2019</v>
      </c>
      <c r="O34" t="s">
        <v>1032</v>
      </c>
      <c r="P34">
        <v>3</v>
      </c>
    </row>
    <row r="35" spans="1:16" x14ac:dyDescent="0.3">
      <c r="A35" s="2" t="s">
        <v>91</v>
      </c>
      <c r="B35" s="2" t="s">
        <v>92</v>
      </c>
      <c r="C35" s="2" t="s">
        <v>17</v>
      </c>
      <c r="D35">
        <v>59</v>
      </c>
      <c r="E35" s="2" t="s">
        <v>30</v>
      </c>
      <c r="F35" s="2" t="s">
        <v>31</v>
      </c>
      <c r="G35">
        <v>66600</v>
      </c>
      <c r="H35" s="2" t="s">
        <v>20</v>
      </c>
      <c r="I35" s="3">
        <v>44513</v>
      </c>
      <c r="J35" t="s">
        <v>1032</v>
      </c>
      <c r="K35">
        <v>4</v>
      </c>
      <c r="L35" t="s">
        <v>1033</v>
      </c>
      <c r="M35" t="s">
        <v>1037</v>
      </c>
      <c r="N35">
        <v>2021</v>
      </c>
      <c r="O35" t="s">
        <v>1032</v>
      </c>
      <c r="P35">
        <v>3</v>
      </c>
    </row>
    <row r="36" spans="1:16" x14ac:dyDescent="0.3">
      <c r="A36" s="2" t="s">
        <v>93</v>
      </c>
      <c r="B36" s="2" t="s">
        <v>94</v>
      </c>
      <c r="C36" s="2" t="s">
        <v>17</v>
      </c>
      <c r="D36">
        <v>72</v>
      </c>
      <c r="E36" s="2" t="s">
        <v>18</v>
      </c>
      <c r="F36" s="2" t="s">
        <v>27</v>
      </c>
      <c r="G36">
        <v>96898</v>
      </c>
      <c r="H36" s="2" t="s">
        <v>20</v>
      </c>
      <c r="I36" s="3">
        <v>42533</v>
      </c>
      <c r="J36" t="s">
        <v>1038</v>
      </c>
      <c r="K36">
        <v>10</v>
      </c>
      <c r="L36" t="s">
        <v>1036</v>
      </c>
      <c r="M36" t="s">
        <v>1037</v>
      </c>
      <c r="N36">
        <v>2016</v>
      </c>
      <c r="O36" t="s">
        <v>1038</v>
      </c>
      <c r="P36">
        <v>4</v>
      </c>
    </row>
    <row r="37" spans="1:16" x14ac:dyDescent="0.3">
      <c r="A37" s="2" t="s">
        <v>95</v>
      </c>
      <c r="B37" s="2" t="s">
        <v>96</v>
      </c>
      <c r="C37" s="2" t="s">
        <v>11</v>
      </c>
      <c r="D37">
        <v>43</v>
      </c>
      <c r="E37" s="2" t="s">
        <v>18</v>
      </c>
      <c r="F37" s="2" t="s">
        <v>27</v>
      </c>
      <c r="G37">
        <v>169369</v>
      </c>
      <c r="H37" s="2" t="s">
        <v>14</v>
      </c>
      <c r="I37" s="3">
        <v>42902</v>
      </c>
      <c r="J37" t="s">
        <v>1029</v>
      </c>
      <c r="K37">
        <v>9</v>
      </c>
      <c r="L37" t="s">
        <v>1036</v>
      </c>
      <c r="M37" t="s">
        <v>1031</v>
      </c>
      <c r="N37">
        <v>2017</v>
      </c>
      <c r="O37" t="s">
        <v>1029</v>
      </c>
      <c r="P37">
        <v>2</v>
      </c>
    </row>
    <row r="38" spans="1:16" x14ac:dyDescent="0.3">
      <c r="A38" s="2" t="s">
        <v>97</v>
      </c>
      <c r="B38" s="2" t="s">
        <v>98</v>
      </c>
      <c r="C38" s="2" t="s">
        <v>17</v>
      </c>
      <c r="D38">
        <v>52</v>
      </c>
      <c r="E38" s="2" t="s">
        <v>18</v>
      </c>
      <c r="F38" s="2" t="s">
        <v>23</v>
      </c>
      <c r="G38">
        <v>50448</v>
      </c>
      <c r="H38" s="2" t="s">
        <v>14</v>
      </c>
      <c r="I38" s="3">
        <v>42922</v>
      </c>
      <c r="J38" t="s">
        <v>1032</v>
      </c>
      <c r="K38">
        <v>8</v>
      </c>
      <c r="L38" t="s">
        <v>1036</v>
      </c>
      <c r="M38" t="s">
        <v>1037</v>
      </c>
      <c r="N38">
        <v>2017</v>
      </c>
      <c r="O38" t="s">
        <v>1032</v>
      </c>
      <c r="P38">
        <v>3</v>
      </c>
    </row>
    <row r="39" spans="1:16" x14ac:dyDescent="0.3">
      <c r="A39" s="2" t="s">
        <v>99</v>
      </c>
      <c r="B39" s="2" t="s">
        <v>100</v>
      </c>
      <c r="C39" s="2" t="s">
        <v>11</v>
      </c>
      <c r="D39">
        <v>67</v>
      </c>
      <c r="E39" s="2" t="s">
        <v>18</v>
      </c>
      <c r="F39" s="2" t="s">
        <v>31</v>
      </c>
      <c r="G39">
        <v>46172</v>
      </c>
      <c r="H39" s="2" t="s">
        <v>20</v>
      </c>
      <c r="I39" s="3">
        <v>44507</v>
      </c>
      <c r="J39" t="s">
        <v>1038</v>
      </c>
      <c r="K39">
        <v>4</v>
      </c>
      <c r="L39" t="s">
        <v>1033</v>
      </c>
      <c r="M39" t="s">
        <v>1037</v>
      </c>
      <c r="N39">
        <v>2021</v>
      </c>
      <c r="O39" t="s">
        <v>1038</v>
      </c>
      <c r="P39">
        <v>4</v>
      </c>
    </row>
    <row r="40" spans="1:16" x14ac:dyDescent="0.3">
      <c r="A40" s="2" t="s">
        <v>101</v>
      </c>
      <c r="B40" s="2" t="s">
        <v>102</v>
      </c>
      <c r="C40" s="2" t="s">
        <v>11</v>
      </c>
      <c r="D40">
        <v>42</v>
      </c>
      <c r="E40" s="2" t="s">
        <v>12</v>
      </c>
      <c r="F40" s="2" t="s">
        <v>19</v>
      </c>
      <c r="G40">
        <v>193946</v>
      </c>
      <c r="H40" s="2" t="s">
        <v>20</v>
      </c>
      <c r="I40" s="3">
        <v>44074</v>
      </c>
      <c r="J40" t="s">
        <v>1029</v>
      </c>
      <c r="K40">
        <v>5</v>
      </c>
      <c r="L40" t="s">
        <v>1033</v>
      </c>
      <c r="M40" t="s">
        <v>1031</v>
      </c>
      <c r="N40">
        <v>2020</v>
      </c>
      <c r="O40" t="s">
        <v>1029</v>
      </c>
      <c r="P40">
        <v>2</v>
      </c>
    </row>
    <row r="41" spans="1:16" x14ac:dyDescent="0.3">
      <c r="A41" s="2" t="s">
        <v>103</v>
      </c>
      <c r="B41" s="2" t="s">
        <v>104</v>
      </c>
      <c r="C41" s="2" t="s">
        <v>11</v>
      </c>
      <c r="D41">
        <v>41</v>
      </c>
      <c r="E41" s="2" t="s">
        <v>12</v>
      </c>
      <c r="F41" s="2" t="s">
        <v>31</v>
      </c>
      <c r="G41">
        <v>27657</v>
      </c>
      <c r="H41" s="2" t="s">
        <v>20</v>
      </c>
      <c r="I41" s="3">
        <v>42296</v>
      </c>
      <c r="J41" t="s">
        <v>1029</v>
      </c>
      <c r="K41">
        <v>10</v>
      </c>
      <c r="L41" t="s">
        <v>1036</v>
      </c>
      <c r="M41" t="s">
        <v>1037</v>
      </c>
      <c r="N41">
        <v>2015</v>
      </c>
      <c r="O41" t="s">
        <v>1029</v>
      </c>
      <c r="P41">
        <v>2</v>
      </c>
    </row>
    <row r="42" spans="1:16" x14ac:dyDescent="0.3">
      <c r="A42" s="2" t="s">
        <v>105</v>
      </c>
      <c r="B42" s="2" t="s">
        <v>106</v>
      </c>
      <c r="C42" s="2" t="s">
        <v>11</v>
      </c>
      <c r="D42">
        <v>30</v>
      </c>
      <c r="E42" s="2" t="s">
        <v>34</v>
      </c>
      <c r="F42" s="2" t="s">
        <v>42</v>
      </c>
      <c r="G42">
        <v>176497</v>
      </c>
      <c r="H42" s="2" t="s">
        <v>20</v>
      </c>
      <c r="I42" s="3">
        <v>42853</v>
      </c>
      <c r="J42" t="s">
        <v>1029</v>
      </c>
      <c r="K42">
        <v>9</v>
      </c>
      <c r="L42" t="s">
        <v>1036</v>
      </c>
      <c r="M42" t="s">
        <v>1031</v>
      </c>
      <c r="N42">
        <v>2017</v>
      </c>
      <c r="O42" t="s">
        <v>1029</v>
      </c>
      <c r="P42">
        <v>2</v>
      </c>
    </row>
    <row r="43" spans="1:16" x14ac:dyDescent="0.3">
      <c r="A43" s="2" t="s">
        <v>107</v>
      </c>
      <c r="B43" s="2" t="s">
        <v>108</v>
      </c>
      <c r="C43" s="2" t="s">
        <v>11</v>
      </c>
      <c r="D43">
        <v>24</v>
      </c>
      <c r="E43" s="2" t="s">
        <v>34</v>
      </c>
      <c r="F43" s="2" t="s">
        <v>37</v>
      </c>
      <c r="G43">
        <v>177757</v>
      </c>
      <c r="H43" s="2" t="s">
        <v>14</v>
      </c>
      <c r="I43" s="3">
        <v>42576</v>
      </c>
      <c r="J43" t="s">
        <v>1035</v>
      </c>
      <c r="K43">
        <v>9</v>
      </c>
      <c r="L43" t="s">
        <v>1036</v>
      </c>
      <c r="M43" t="s">
        <v>1031</v>
      </c>
      <c r="N43">
        <v>2016</v>
      </c>
      <c r="O43" t="s">
        <v>1035</v>
      </c>
      <c r="P43">
        <v>1</v>
      </c>
    </row>
    <row r="44" spans="1:16" x14ac:dyDescent="0.3">
      <c r="A44" s="2" t="s">
        <v>109</v>
      </c>
      <c r="B44" s="2" t="s">
        <v>110</v>
      </c>
      <c r="C44" s="2" t="s">
        <v>17</v>
      </c>
      <c r="D44">
        <v>74</v>
      </c>
      <c r="E44" s="2" t="s">
        <v>18</v>
      </c>
      <c r="F44" s="2" t="s">
        <v>37</v>
      </c>
      <c r="G44">
        <v>132855</v>
      </c>
      <c r="H44" s="2" t="s">
        <v>20</v>
      </c>
      <c r="I44" s="3">
        <v>44752</v>
      </c>
      <c r="J44" t="s">
        <v>1038</v>
      </c>
      <c r="K44">
        <v>3</v>
      </c>
      <c r="L44" t="s">
        <v>1030</v>
      </c>
      <c r="M44" t="s">
        <v>1034</v>
      </c>
      <c r="N44">
        <v>2022</v>
      </c>
      <c r="O44" t="s">
        <v>1038</v>
      </c>
      <c r="P44">
        <v>4</v>
      </c>
    </row>
    <row r="45" spans="1:16" x14ac:dyDescent="0.3">
      <c r="A45" s="2" t="s">
        <v>111</v>
      </c>
      <c r="B45" s="2" t="s">
        <v>112</v>
      </c>
      <c r="C45" s="2" t="s">
        <v>17</v>
      </c>
      <c r="D45">
        <v>53</v>
      </c>
      <c r="E45" s="2" t="s">
        <v>18</v>
      </c>
      <c r="F45" s="2" t="s">
        <v>42</v>
      </c>
      <c r="G45">
        <v>175650</v>
      </c>
      <c r="H45" s="2" t="s">
        <v>14</v>
      </c>
      <c r="I45" s="3">
        <v>44427</v>
      </c>
      <c r="J45" t="s">
        <v>1032</v>
      </c>
      <c r="K45">
        <v>4</v>
      </c>
      <c r="L45" t="s">
        <v>1033</v>
      </c>
      <c r="M45" t="s">
        <v>1031</v>
      </c>
      <c r="N45">
        <v>2021</v>
      </c>
      <c r="O45" t="s">
        <v>1032</v>
      </c>
      <c r="P45">
        <v>3</v>
      </c>
    </row>
    <row r="46" spans="1:16" x14ac:dyDescent="0.3">
      <c r="A46" s="2" t="s">
        <v>113</v>
      </c>
      <c r="B46" s="2" t="s">
        <v>114</v>
      </c>
      <c r="C46" s="2" t="s">
        <v>17</v>
      </c>
      <c r="D46">
        <v>62</v>
      </c>
      <c r="E46" s="2" t="s">
        <v>18</v>
      </c>
      <c r="F46" s="2" t="s">
        <v>31</v>
      </c>
      <c r="G46">
        <v>179903</v>
      </c>
      <c r="H46" s="2" t="s">
        <v>14</v>
      </c>
      <c r="I46" s="3">
        <v>43636</v>
      </c>
      <c r="J46" t="s">
        <v>1038</v>
      </c>
      <c r="K46">
        <v>7</v>
      </c>
      <c r="L46" t="s">
        <v>1033</v>
      </c>
      <c r="M46" t="s">
        <v>1031</v>
      </c>
      <c r="N46">
        <v>2019</v>
      </c>
      <c r="O46" t="s">
        <v>1038</v>
      </c>
      <c r="P46">
        <v>4</v>
      </c>
    </row>
    <row r="47" spans="1:16" x14ac:dyDescent="0.3">
      <c r="A47" s="2" t="s">
        <v>115</v>
      </c>
      <c r="B47" s="2" t="s">
        <v>116</v>
      </c>
      <c r="C47" s="2" t="s">
        <v>17</v>
      </c>
      <c r="D47">
        <v>37</v>
      </c>
      <c r="E47" s="2" t="s">
        <v>34</v>
      </c>
      <c r="F47" s="2" t="s">
        <v>42</v>
      </c>
      <c r="G47">
        <v>27906</v>
      </c>
      <c r="H47" s="2" t="s">
        <v>14</v>
      </c>
      <c r="I47" s="3">
        <v>44323</v>
      </c>
      <c r="J47" t="s">
        <v>1029</v>
      </c>
      <c r="K47">
        <v>5</v>
      </c>
      <c r="L47" t="s">
        <v>1033</v>
      </c>
      <c r="M47" t="s">
        <v>1037</v>
      </c>
      <c r="N47">
        <v>2021</v>
      </c>
      <c r="O47" t="s">
        <v>1029</v>
      </c>
      <c r="P47">
        <v>2</v>
      </c>
    </row>
    <row r="48" spans="1:16" x14ac:dyDescent="0.3">
      <c r="A48" s="2" t="s">
        <v>117</v>
      </c>
      <c r="B48" s="2" t="s">
        <v>118</v>
      </c>
      <c r="C48" s="2" t="s">
        <v>17</v>
      </c>
      <c r="D48">
        <v>18</v>
      </c>
      <c r="E48" s="2" t="s">
        <v>30</v>
      </c>
      <c r="F48" s="2" t="s">
        <v>13</v>
      </c>
      <c r="G48">
        <v>81413</v>
      </c>
      <c r="H48" s="2" t="s">
        <v>14</v>
      </c>
      <c r="I48" s="3">
        <v>42831</v>
      </c>
      <c r="J48" t="s">
        <v>1035</v>
      </c>
      <c r="K48">
        <v>9</v>
      </c>
      <c r="L48" t="s">
        <v>1036</v>
      </c>
      <c r="M48" t="s">
        <v>1037</v>
      </c>
      <c r="N48">
        <v>2017</v>
      </c>
      <c r="O48" t="s">
        <v>1035</v>
      </c>
      <c r="P48">
        <v>1</v>
      </c>
    </row>
    <row r="49" spans="1:16" x14ac:dyDescent="0.3">
      <c r="A49" s="2" t="s">
        <v>119</v>
      </c>
      <c r="B49" s="2" t="s">
        <v>120</v>
      </c>
      <c r="C49" s="2" t="s">
        <v>11</v>
      </c>
      <c r="D49">
        <v>25</v>
      </c>
      <c r="E49" s="2" t="s">
        <v>30</v>
      </c>
      <c r="F49" s="2" t="s">
        <v>42</v>
      </c>
      <c r="G49">
        <v>74028</v>
      </c>
      <c r="H49" s="2" t="s">
        <v>14</v>
      </c>
      <c r="I49" s="3">
        <v>45478</v>
      </c>
      <c r="J49" t="s">
        <v>1035</v>
      </c>
      <c r="K49">
        <v>1</v>
      </c>
      <c r="L49" t="s">
        <v>1039</v>
      </c>
      <c r="M49" t="s">
        <v>1037</v>
      </c>
      <c r="N49">
        <v>2024</v>
      </c>
      <c r="O49" t="s">
        <v>1035</v>
      </c>
      <c r="P49">
        <v>1</v>
      </c>
    </row>
    <row r="50" spans="1:16" x14ac:dyDescent="0.3">
      <c r="A50" s="2" t="s">
        <v>121</v>
      </c>
      <c r="B50" s="2" t="s">
        <v>122</v>
      </c>
      <c r="C50" s="2" t="s">
        <v>17</v>
      </c>
      <c r="D50">
        <v>63</v>
      </c>
      <c r="E50" s="2" t="s">
        <v>34</v>
      </c>
      <c r="F50" s="2" t="s">
        <v>27</v>
      </c>
      <c r="G50">
        <v>27287</v>
      </c>
      <c r="H50" s="2" t="s">
        <v>14</v>
      </c>
      <c r="I50" s="3">
        <v>42750</v>
      </c>
      <c r="J50" t="s">
        <v>1038</v>
      </c>
      <c r="K50">
        <v>9</v>
      </c>
      <c r="L50" t="s">
        <v>1036</v>
      </c>
      <c r="M50" t="s">
        <v>1037</v>
      </c>
      <c r="N50">
        <v>2017</v>
      </c>
      <c r="O50" t="s">
        <v>1038</v>
      </c>
      <c r="P50">
        <v>4</v>
      </c>
    </row>
    <row r="51" spans="1:16" x14ac:dyDescent="0.3">
      <c r="A51" s="2" t="s">
        <v>123</v>
      </c>
      <c r="B51" s="2" t="s">
        <v>124</v>
      </c>
      <c r="C51" s="2" t="s">
        <v>17</v>
      </c>
      <c r="D51">
        <v>33</v>
      </c>
      <c r="E51" s="2" t="s">
        <v>34</v>
      </c>
      <c r="F51" s="2" t="s">
        <v>42</v>
      </c>
      <c r="G51">
        <v>53660</v>
      </c>
      <c r="H51" s="2" t="s">
        <v>20</v>
      </c>
      <c r="I51" s="3">
        <v>44992</v>
      </c>
      <c r="J51" t="s">
        <v>1029</v>
      </c>
      <c r="K51">
        <v>3</v>
      </c>
      <c r="L51" t="s">
        <v>1030</v>
      </c>
      <c r="M51" t="s">
        <v>1037</v>
      </c>
      <c r="N51">
        <v>2023</v>
      </c>
      <c r="O51" t="s">
        <v>1029</v>
      </c>
      <c r="P51">
        <v>2</v>
      </c>
    </row>
    <row r="52" spans="1:16" x14ac:dyDescent="0.3">
      <c r="A52" s="2" t="s">
        <v>125</v>
      </c>
      <c r="B52" s="2" t="s">
        <v>126</v>
      </c>
      <c r="C52" s="2" t="s">
        <v>11</v>
      </c>
      <c r="D52">
        <v>31</v>
      </c>
      <c r="E52" s="2" t="s">
        <v>34</v>
      </c>
      <c r="F52" s="2" t="s">
        <v>37</v>
      </c>
      <c r="G52">
        <v>80504</v>
      </c>
      <c r="H52" s="2" t="s">
        <v>14</v>
      </c>
      <c r="I52" s="3">
        <v>42622</v>
      </c>
      <c r="J52" t="s">
        <v>1029</v>
      </c>
      <c r="K52">
        <v>9</v>
      </c>
      <c r="L52" t="s">
        <v>1036</v>
      </c>
      <c r="M52" t="s">
        <v>1037</v>
      </c>
      <c r="N52">
        <v>2016</v>
      </c>
      <c r="O52" t="s">
        <v>1029</v>
      </c>
      <c r="P52">
        <v>2</v>
      </c>
    </row>
    <row r="53" spans="1:16" x14ac:dyDescent="0.3">
      <c r="A53" s="2" t="s">
        <v>127</v>
      </c>
      <c r="B53" s="2" t="s">
        <v>128</v>
      </c>
      <c r="C53" s="2" t="s">
        <v>17</v>
      </c>
      <c r="D53">
        <v>29</v>
      </c>
      <c r="E53" s="2" t="s">
        <v>34</v>
      </c>
      <c r="F53" s="2" t="s">
        <v>27</v>
      </c>
      <c r="G53">
        <v>122979</v>
      </c>
      <c r="H53" s="2" t="s">
        <v>14</v>
      </c>
      <c r="I53" s="3">
        <v>45072</v>
      </c>
      <c r="J53" t="s">
        <v>1029</v>
      </c>
      <c r="K53">
        <v>3</v>
      </c>
      <c r="L53" t="s">
        <v>1030</v>
      </c>
      <c r="M53" t="s">
        <v>1034</v>
      </c>
      <c r="N53">
        <v>2023</v>
      </c>
      <c r="O53" t="s">
        <v>1029</v>
      </c>
      <c r="P53">
        <v>2</v>
      </c>
    </row>
    <row r="54" spans="1:16" x14ac:dyDescent="0.3">
      <c r="A54" s="2" t="s">
        <v>129</v>
      </c>
      <c r="B54" s="2" t="s">
        <v>1040</v>
      </c>
      <c r="C54" s="2" t="s">
        <v>11</v>
      </c>
      <c r="D54">
        <v>68</v>
      </c>
      <c r="E54" s="2" t="s">
        <v>34</v>
      </c>
      <c r="F54" s="2" t="s">
        <v>37</v>
      </c>
      <c r="G54">
        <v>54701</v>
      </c>
      <c r="H54" s="2" t="s">
        <v>14</v>
      </c>
      <c r="I54" s="3">
        <v>44740</v>
      </c>
      <c r="J54" t="s">
        <v>1038</v>
      </c>
      <c r="K54">
        <v>4</v>
      </c>
      <c r="L54" t="s">
        <v>1033</v>
      </c>
      <c r="M54" t="s">
        <v>1037</v>
      </c>
      <c r="N54">
        <v>2022</v>
      </c>
      <c r="O54" t="s">
        <v>1038</v>
      </c>
      <c r="P54">
        <v>4</v>
      </c>
    </row>
    <row r="55" spans="1:16" x14ac:dyDescent="0.3">
      <c r="A55" s="2" t="s">
        <v>131</v>
      </c>
      <c r="B55" s="2" t="s">
        <v>132</v>
      </c>
      <c r="C55" s="2" t="s">
        <v>17</v>
      </c>
      <c r="D55">
        <v>40</v>
      </c>
      <c r="E55" s="2" t="s">
        <v>34</v>
      </c>
      <c r="F55" s="2" t="s">
        <v>23</v>
      </c>
      <c r="G55">
        <v>103300</v>
      </c>
      <c r="H55" s="2" t="s">
        <v>14</v>
      </c>
      <c r="I55" s="3">
        <v>44107</v>
      </c>
      <c r="J55" t="s">
        <v>1029</v>
      </c>
      <c r="K55">
        <v>5</v>
      </c>
      <c r="L55" t="s">
        <v>1033</v>
      </c>
      <c r="M55" t="s">
        <v>1034</v>
      </c>
      <c r="N55">
        <v>2020</v>
      </c>
      <c r="O55" t="s">
        <v>1029</v>
      </c>
      <c r="P55">
        <v>2</v>
      </c>
    </row>
    <row r="56" spans="1:16" x14ac:dyDescent="0.3">
      <c r="A56" s="2" t="s">
        <v>133</v>
      </c>
      <c r="B56" s="2" t="s">
        <v>134</v>
      </c>
      <c r="C56" s="2" t="s">
        <v>11</v>
      </c>
      <c r="D56">
        <v>32</v>
      </c>
      <c r="E56" s="2" t="s">
        <v>18</v>
      </c>
      <c r="F56" s="2" t="s">
        <v>19</v>
      </c>
      <c r="G56">
        <v>168746</v>
      </c>
      <c r="H56" s="2" t="s">
        <v>14</v>
      </c>
      <c r="I56" s="3">
        <v>44916</v>
      </c>
      <c r="J56" t="s">
        <v>1029</v>
      </c>
      <c r="K56">
        <v>3</v>
      </c>
      <c r="L56" t="s">
        <v>1030</v>
      </c>
      <c r="M56" t="s">
        <v>1031</v>
      </c>
      <c r="N56">
        <v>2022</v>
      </c>
      <c r="O56" t="s">
        <v>1029</v>
      </c>
      <c r="P56">
        <v>2</v>
      </c>
    </row>
    <row r="57" spans="1:16" x14ac:dyDescent="0.3">
      <c r="A57" s="2" t="s">
        <v>135</v>
      </c>
      <c r="B57" s="2" t="s">
        <v>136</v>
      </c>
      <c r="C57" s="2" t="s">
        <v>17</v>
      </c>
      <c r="D57">
        <v>45</v>
      </c>
      <c r="E57" s="2" t="s">
        <v>18</v>
      </c>
      <c r="F57" s="2" t="s">
        <v>37</v>
      </c>
      <c r="G57">
        <v>103560</v>
      </c>
      <c r="H57" s="2" t="s">
        <v>14</v>
      </c>
      <c r="I57" s="3">
        <v>44711</v>
      </c>
      <c r="J57" t="s">
        <v>1032</v>
      </c>
      <c r="K57">
        <v>4</v>
      </c>
      <c r="L57" t="s">
        <v>1033</v>
      </c>
      <c r="M57" t="s">
        <v>1034</v>
      </c>
      <c r="N57">
        <v>2022</v>
      </c>
      <c r="O57" t="s">
        <v>1032</v>
      </c>
      <c r="P57">
        <v>3</v>
      </c>
    </row>
    <row r="58" spans="1:16" x14ac:dyDescent="0.3">
      <c r="A58" s="2" t="s">
        <v>137</v>
      </c>
      <c r="B58" s="2" t="s">
        <v>138</v>
      </c>
      <c r="C58" s="2" t="s">
        <v>17</v>
      </c>
      <c r="D58">
        <v>51</v>
      </c>
      <c r="E58" s="2" t="s">
        <v>18</v>
      </c>
      <c r="F58" s="2" t="s">
        <v>27</v>
      </c>
      <c r="G58">
        <v>174946</v>
      </c>
      <c r="H58" s="2" t="s">
        <v>20</v>
      </c>
      <c r="I58" s="3">
        <v>43671</v>
      </c>
      <c r="J58" t="s">
        <v>1032</v>
      </c>
      <c r="K58">
        <v>6</v>
      </c>
      <c r="L58" t="s">
        <v>1033</v>
      </c>
      <c r="M58" t="s">
        <v>1031</v>
      </c>
      <c r="N58">
        <v>2019</v>
      </c>
      <c r="O58" t="s">
        <v>1032</v>
      </c>
      <c r="P58">
        <v>3</v>
      </c>
    </row>
    <row r="59" spans="1:16" x14ac:dyDescent="0.3">
      <c r="A59" s="2" t="s">
        <v>139</v>
      </c>
      <c r="B59" s="2" t="s">
        <v>140</v>
      </c>
      <c r="C59" s="2" t="s">
        <v>11</v>
      </c>
      <c r="D59">
        <v>19</v>
      </c>
      <c r="E59" s="2" t="s">
        <v>18</v>
      </c>
      <c r="F59" s="2" t="s">
        <v>23</v>
      </c>
      <c r="G59">
        <v>63642</v>
      </c>
      <c r="H59" s="2" t="s">
        <v>20</v>
      </c>
      <c r="I59" s="3">
        <v>43622</v>
      </c>
      <c r="J59" t="s">
        <v>1035</v>
      </c>
      <c r="K59">
        <v>7</v>
      </c>
      <c r="L59" t="s">
        <v>1033</v>
      </c>
      <c r="M59" t="s">
        <v>1037</v>
      </c>
      <c r="N59">
        <v>2019</v>
      </c>
      <c r="O59" t="s">
        <v>1035</v>
      </c>
      <c r="P59">
        <v>1</v>
      </c>
    </row>
    <row r="60" spans="1:16" x14ac:dyDescent="0.3">
      <c r="A60" s="2" t="s">
        <v>141</v>
      </c>
      <c r="B60" s="2" t="s">
        <v>142</v>
      </c>
      <c r="C60" s="2" t="s">
        <v>11</v>
      </c>
      <c r="D60">
        <v>49</v>
      </c>
      <c r="E60" s="2" t="s">
        <v>34</v>
      </c>
      <c r="F60" s="2" t="s">
        <v>37</v>
      </c>
      <c r="G60">
        <v>85160</v>
      </c>
      <c r="H60" s="2" t="s">
        <v>20</v>
      </c>
      <c r="I60" s="3">
        <v>45360</v>
      </c>
      <c r="J60" t="s">
        <v>1032</v>
      </c>
      <c r="K60">
        <v>2</v>
      </c>
      <c r="L60" t="s">
        <v>1030</v>
      </c>
      <c r="M60" t="s">
        <v>1037</v>
      </c>
      <c r="N60">
        <v>2024</v>
      </c>
      <c r="O60" t="s">
        <v>1032</v>
      </c>
      <c r="P60">
        <v>3</v>
      </c>
    </row>
    <row r="61" spans="1:16" x14ac:dyDescent="0.3">
      <c r="A61" s="2" t="s">
        <v>143</v>
      </c>
      <c r="B61" s="2" t="s">
        <v>144</v>
      </c>
      <c r="C61" s="2" t="s">
        <v>11</v>
      </c>
      <c r="D61">
        <v>40</v>
      </c>
      <c r="E61" s="2" t="s">
        <v>30</v>
      </c>
      <c r="F61" s="2" t="s">
        <v>13</v>
      </c>
      <c r="G61">
        <v>37602</v>
      </c>
      <c r="H61" s="2" t="s">
        <v>14</v>
      </c>
      <c r="I61" s="3">
        <v>43415</v>
      </c>
      <c r="J61" t="s">
        <v>1029</v>
      </c>
      <c r="K61">
        <v>7</v>
      </c>
      <c r="L61" t="s">
        <v>1033</v>
      </c>
      <c r="M61" t="s">
        <v>1037</v>
      </c>
      <c r="N61">
        <v>2018</v>
      </c>
      <c r="O61" t="s">
        <v>1029</v>
      </c>
      <c r="P61">
        <v>2</v>
      </c>
    </row>
    <row r="62" spans="1:16" x14ac:dyDescent="0.3">
      <c r="A62" s="2" t="s">
        <v>145</v>
      </c>
      <c r="B62" s="2" t="s">
        <v>146</v>
      </c>
      <c r="C62" s="2" t="s">
        <v>11</v>
      </c>
      <c r="D62">
        <v>39</v>
      </c>
      <c r="E62" s="2" t="s">
        <v>12</v>
      </c>
      <c r="F62" s="2" t="s">
        <v>42</v>
      </c>
      <c r="G62">
        <v>123320</v>
      </c>
      <c r="H62" s="2" t="s">
        <v>14</v>
      </c>
      <c r="I62" s="3">
        <v>44878</v>
      </c>
      <c r="J62" t="s">
        <v>1029</v>
      </c>
      <c r="K62">
        <v>3</v>
      </c>
      <c r="L62" t="s">
        <v>1030</v>
      </c>
      <c r="M62" t="s">
        <v>1034</v>
      </c>
      <c r="N62">
        <v>2022</v>
      </c>
      <c r="O62" t="s">
        <v>1029</v>
      </c>
      <c r="P62">
        <v>2</v>
      </c>
    </row>
    <row r="63" spans="1:16" x14ac:dyDescent="0.3">
      <c r="A63" s="2" t="s">
        <v>147</v>
      </c>
      <c r="B63" s="2" t="s">
        <v>148</v>
      </c>
      <c r="C63" s="2" t="s">
        <v>11</v>
      </c>
      <c r="D63">
        <v>68</v>
      </c>
      <c r="E63" s="2" t="s">
        <v>34</v>
      </c>
      <c r="F63" s="2" t="s">
        <v>19</v>
      </c>
      <c r="G63">
        <v>108801</v>
      </c>
      <c r="H63" s="2" t="s">
        <v>20</v>
      </c>
      <c r="I63" s="3">
        <v>45597</v>
      </c>
      <c r="J63" t="s">
        <v>1038</v>
      </c>
      <c r="K63">
        <v>1</v>
      </c>
      <c r="L63" t="s">
        <v>1039</v>
      </c>
      <c r="M63" t="s">
        <v>1034</v>
      </c>
      <c r="N63">
        <v>2024</v>
      </c>
      <c r="O63" t="s">
        <v>1038</v>
      </c>
      <c r="P63">
        <v>4</v>
      </c>
    </row>
    <row r="64" spans="1:16" x14ac:dyDescent="0.3">
      <c r="A64" s="2" t="s">
        <v>149</v>
      </c>
      <c r="B64" s="2" t="s">
        <v>150</v>
      </c>
      <c r="C64" s="2" t="s">
        <v>11</v>
      </c>
      <c r="D64">
        <v>42</v>
      </c>
      <c r="E64" s="2" t="s">
        <v>12</v>
      </c>
      <c r="F64" s="2" t="s">
        <v>37</v>
      </c>
      <c r="G64">
        <v>45931</v>
      </c>
      <c r="H64" s="2" t="s">
        <v>14</v>
      </c>
      <c r="I64" s="3">
        <v>45042</v>
      </c>
      <c r="J64" t="s">
        <v>1029</v>
      </c>
      <c r="K64">
        <v>3</v>
      </c>
      <c r="L64" t="s">
        <v>1030</v>
      </c>
      <c r="M64" t="s">
        <v>1037</v>
      </c>
      <c r="N64">
        <v>2023</v>
      </c>
      <c r="O64" t="s">
        <v>1029</v>
      </c>
      <c r="P64">
        <v>2</v>
      </c>
    </row>
    <row r="65" spans="1:16" x14ac:dyDescent="0.3">
      <c r="A65" s="2" t="s">
        <v>151</v>
      </c>
      <c r="B65" s="2" t="s">
        <v>152</v>
      </c>
      <c r="C65" s="2" t="s">
        <v>11</v>
      </c>
      <c r="D65">
        <v>39</v>
      </c>
      <c r="E65" s="2" t="s">
        <v>30</v>
      </c>
      <c r="F65" s="2" t="s">
        <v>23</v>
      </c>
      <c r="G65">
        <v>114377</v>
      </c>
      <c r="H65" s="2" t="s">
        <v>14</v>
      </c>
      <c r="I65" s="3">
        <v>44997</v>
      </c>
      <c r="J65" t="s">
        <v>1029</v>
      </c>
      <c r="K65">
        <v>3</v>
      </c>
      <c r="L65" t="s">
        <v>1030</v>
      </c>
      <c r="M65" t="s">
        <v>1034</v>
      </c>
      <c r="N65">
        <v>2023</v>
      </c>
      <c r="O65" t="s">
        <v>1029</v>
      </c>
      <c r="P65">
        <v>2</v>
      </c>
    </row>
    <row r="66" spans="1:16" x14ac:dyDescent="0.3">
      <c r="A66" s="2" t="s">
        <v>153</v>
      </c>
      <c r="B66" s="2" t="s">
        <v>154</v>
      </c>
      <c r="C66" s="2" t="s">
        <v>11</v>
      </c>
      <c r="D66">
        <v>39</v>
      </c>
      <c r="E66" s="2" t="s">
        <v>18</v>
      </c>
      <c r="F66" s="2" t="s">
        <v>13</v>
      </c>
      <c r="G66">
        <v>49192</v>
      </c>
      <c r="H66" s="2" t="s">
        <v>14</v>
      </c>
      <c r="I66" s="3">
        <v>44119</v>
      </c>
      <c r="J66" t="s">
        <v>1029</v>
      </c>
      <c r="K66">
        <v>5</v>
      </c>
      <c r="L66" t="s">
        <v>1033</v>
      </c>
      <c r="M66" t="s">
        <v>1037</v>
      </c>
      <c r="N66">
        <v>2020</v>
      </c>
      <c r="O66" t="s">
        <v>1029</v>
      </c>
      <c r="P66">
        <v>2</v>
      </c>
    </row>
    <row r="67" spans="1:16" x14ac:dyDescent="0.3">
      <c r="A67" s="2" t="s">
        <v>155</v>
      </c>
      <c r="B67" s="2" t="s">
        <v>156</v>
      </c>
      <c r="C67" s="2" t="s">
        <v>17</v>
      </c>
      <c r="D67">
        <v>66</v>
      </c>
      <c r="E67" s="2" t="s">
        <v>30</v>
      </c>
      <c r="F67" s="2" t="s">
        <v>31</v>
      </c>
      <c r="G67">
        <v>66542</v>
      </c>
      <c r="H67" s="2" t="s">
        <v>14</v>
      </c>
      <c r="I67" s="3">
        <v>43091</v>
      </c>
      <c r="J67" t="s">
        <v>1038</v>
      </c>
      <c r="K67">
        <v>8</v>
      </c>
      <c r="L67" t="s">
        <v>1036</v>
      </c>
      <c r="M67" t="s">
        <v>1037</v>
      </c>
      <c r="N67">
        <v>2017</v>
      </c>
      <c r="O67" t="s">
        <v>1038</v>
      </c>
      <c r="P67">
        <v>4</v>
      </c>
    </row>
    <row r="68" spans="1:16" x14ac:dyDescent="0.3">
      <c r="A68" s="2" t="s">
        <v>157</v>
      </c>
      <c r="B68" s="2" t="s">
        <v>158</v>
      </c>
      <c r="C68" s="2" t="s">
        <v>17</v>
      </c>
      <c r="D68">
        <v>69</v>
      </c>
      <c r="E68" s="2" t="s">
        <v>34</v>
      </c>
      <c r="F68" s="2" t="s">
        <v>23</v>
      </c>
      <c r="G68">
        <v>147015</v>
      </c>
      <c r="H68" s="2" t="s">
        <v>14</v>
      </c>
      <c r="I68" s="3">
        <v>44996</v>
      </c>
      <c r="J68" t="s">
        <v>1038</v>
      </c>
      <c r="K68">
        <v>3</v>
      </c>
      <c r="L68" t="s">
        <v>1030</v>
      </c>
      <c r="M68" t="s">
        <v>1034</v>
      </c>
      <c r="N68">
        <v>2023</v>
      </c>
      <c r="O68" t="s">
        <v>1038</v>
      </c>
      <c r="P68">
        <v>4</v>
      </c>
    </row>
    <row r="69" spans="1:16" x14ac:dyDescent="0.3">
      <c r="A69" s="2" t="s">
        <v>159</v>
      </c>
      <c r="B69" s="2" t="s">
        <v>160</v>
      </c>
      <c r="C69" s="2" t="s">
        <v>11</v>
      </c>
      <c r="D69">
        <v>59</v>
      </c>
      <c r="E69" s="2" t="s">
        <v>18</v>
      </c>
      <c r="F69" s="2" t="s">
        <v>42</v>
      </c>
      <c r="G69">
        <v>62520</v>
      </c>
      <c r="H69" s="2" t="s">
        <v>14</v>
      </c>
      <c r="I69" s="3">
        <v>43069</v>
      </c>
      <c r="J69" t="s">
        <v>1032</v>
      </c>
      <c r="K69">
        <v>8</v>
      </c>
      <c r="L69" t="s">
        <v>1036</v>
      </c>
      <c r="M69" t="s">
        <v>1037</v>
      </c>
      <c r="N69">
        <v>2017</v>
      </c>
      <c r="O69" t="s">
        <v>1032</v>
      </c>
      <c r="P69">
        <v>3</v>
      </c>
    </row>
    <row r="70" spans="1:16" x14ac:dyDescent="0.3">
      <c r="A70" s="2" t="s">
        <v>161</v>
      </c>
      <c r="B70" s="2" t="s">
        <v>162</v>
      </c>
      <c r="C70" s="2" t="s">
        <v>17</v>
      </c>
      <c r="D70">
        <v>23</v>
      </c>
      <c r="E70" s="2" t="s">
        <v>34</v>
      </c>
      <c r="F70" s="2" t="s">
        <v>23</v>
      </c>
      <c r="G70">
        <v>84772</v>
      </c>
      <c r="H70" s="2" t="s">
        <v>14</v>
      </c>
      <c r="I70" s="3">
        <v>43341</v>
      </c>
      <c r="J70" t="s">
        <v>1035</v>
      </c>
      <c r="K70">
        <v>7</v>
      </c>
      <c r="L70" t="s">
        <v>1033</v>
      </c>
      <c r="M70" t="s">
        <v>1037</v>
      </c>
      <c r="N70">
        <v>2018</v>
      </c>
      <c r="O70" t="s">
        <v>1035</v>
      </c>
      <c r="P70">
        <v>1</v>
      </c>
    </row>
    <row r="71" spans="1:16" x14ac:dyDescent="0.3">
      <c r="A71" s="2" t="s">
        <v>163</v>
      </c>
      <c r="B71" s="2" t="s">
        <v>164</v>
      </c>
      <c r="C71" s="2" t="s">
        <v>17</v>
      </c>
      <c r="D71">
        <v>32</v>
      </c>
      <c r="E71" s="2" t="s">
        <v>18</v>
      </c>
      <c r="F71" s="2" t="s">
        <v>13</v>
      </c>
      <c r="G71">
        <v>70106</v>
      </c>
      <c r="H71" s="2" t="s">
        <v>14</v>
      </c>
      <c r="I71" s="3">
        <v>45477</v>
      </c>
      <c r="J71" t="s">
        <v>1029</v>
      </c>
      <c r="K71">
        <v>1</v>
      </c>
      <c r="L71" t="s">
        <v>1039</v>
      </c>
      <c r="M71" t="s">
        <v>1037</v>
      </c>
      <c r="N71">
        <v>2024</v>
      </c>
      <c r="O71" t="s">
        <v>1029</v>
      </c>
      <c r="P71">
        <v>2</v>
      </c>
    </row>
    <row r="72" spans="1:16" x14ac:dyDescent="0.3">
      <c r="A72" s="2" t="s">
        <v>165</v>
      </c>
      <c r="B72" s="2" t="s">
        <v>166</v>
      </c>
      <c r="C72" s="2" t="s">
        <v>17</v>
      </c>
      <c r="D72">
        <v>71</v>
      </c>
      <c r="E72" s="2" t="s">
        <v>12</v>
      </c>
      <c r="F72" s="2" t="s">
        <v>23</v>
      </c>
      <c r="G72">
        <v>101121</v>
      </c>
      <c r="H72" s="2" t="s">
        <v>20</v>
      </c>
      <c r="I72" s="3">
        <v>45815</v>
      </c>
      <c r="J72" t="s">
        <v>1038</v>
      </c>
      <c r="K72">
        <v>1</v>
      </c>
      <c r="L72" t="s">
        <v>1039</v>
      </c>
      <c r="M72" t="s">
        <v>1034</v>
      </c>
      <c r="N72">
        <v>2025</v>
      </c>
      <c r="O72" t="s">
        <v>1038</v>
      </c>
      <c r="P72">
        <v>4</v>
      </c>
    </row>
    <row r="73" spans="1:16" x14ac:dyDescent="0.3">
      <c r="A73" s="2" t="s">
        <v>167</v>
      </c>
      <c r="B73" s="2" t="s">
        <v>168</v>
      </c>
      <c r="C73" s="2" t="s">
        <v>17</v>
      </c>
      <c r="D73">
        <v>60</v>
      </c>
      <c r="E73" s="2" t="s">
        <v>12</v>
      </c>
      <c r="F73" s="2" t="s">
        <v>13</v>
      </c>
      <c r="G73">
        <v>45559</v>
      </c>
      <c r="H73" s="2" t="s">
        <v>20</v>
      </c>
      <c r="I73" s="3">
        <v>42457</v>
      </c>
      <c r="J73" t="s">
        <v>1032</v>
      </c>
      <c r="K73">
        <v>10</v>
      </c>
      <c r="L73" t="s">
        <v>1036</v>
      </c>
      <c r="M73" t="s">
        <v>1037</v>
      </c>
      <c r="N73">
        <v>2016</v>
      </c>
      <c r="O73" t="s">
        <v>1032</v>
      </c>
      <c r="P73">
        <v>3</v>
      </c>
    </row>
    <row r="74" spans="1:16" x14ac:dyDescent="0.3">
      <c r="A74" s="2" t="s">
        <v>169</v>
      </c>
      <c r="B74" s="2" t="s">
        <v>170</v>
      </c>
      <c r="C74" s="2" t="s">
        <v>11</v>
      </c>
      <c r="D74">
        <v>54</v>
      </c>
      <c r="E74" s="2" t="s">
        <v>12</v>
      </c>
      <c r="F74" s="2" t="s">
        <v>37</v>
      </c>
      <c r="G74">
        <v>125595</v>
      </c>
      <c r="H74" s="2" t="s">
        <v>20</v>
      </c>
      <c r="I74" s="3">
        <v>43929</v>
      </c>
      <c r="J74" t="s">
        <v>1032</v>
      </c>
      <c r="K74">
        <v>6</v>
      </c>
      <c r="L74" t="s">
        <v>1033</v>
      </c>
      <c r="M74" t="s">
        <v>1034</v>
      </c>
      <c r="N74">
        <v>2020</v>
      </c>
      <c r="O74" t="s">
        <v>1032</v>
      </c>
      <c r="P74">
        <v>3</v>
      </c>
    </row>
    <row r="75" spans="1:16" x14ac:dyDescent="0.3">
      <c r="A75" s="2" t="s">
        <v>171</v>
      </c>
      <c r="B75" s="2" t="s">
        <v>172</v>
      </c>
      <c r="C75" s="2" t="s">
        <v>17</v>
      </c>
      <c r="D75">
        <v>50</v>
      </c>
      <c r="E75" s="2" t="s">
        <v>30</v>
      </c>
      <c r="F75" s="2" t="s">
        <v>13</v>
      </c>
      <c r="G75">
        <v>53742</v>
      </c>
      <c r="H75" s="2" t="s">
        <v>20</v>
      </c>
      <c r="I75" s="3">
        <v>45677</v>
      </c>
      <c r="J75" t="s">
        <v>1032</v>
      </c>
      <c r="K75">
        <v>1</v>
      </c>
      <c r="L75" t="s">
        <v>1039</v>
      </c>
      <c r="M75" t="s">
        <v>1037</v>
      </c>
      <c r="N75">
        <v>2025</v>
      </c>
      <c r="O75" t="s">
        <v>1032</v>
      </c>
      <c r="P75">
        <v>3</v>
      </c>
    </row>
    <row r="76" spans="1:16" x14ac:dyDescent="0.3">
      <c r="A76" s="2" t="s">
        <v>173</v>
      </c>
      <c r="B76" s="2" t="s">
        <v>174</v>
      </c>
      <c r="C76" s="2" t="s">
        <v>11</v>
      </c>
      <c r="D76">
        <v>25</v>
      </c>
      <c r="E76" s="2" t="s">
        <v>34</v>
      </c>
      <c r="F76" s="2" t="s">
        <v>13</v>
      </c>
      <c r="G76">
        <v>89669</v>
      </c>
      <c r="H76" s="2" t="s">
        <v>24</v>
      </c>
      <c r="I76" s="3">
        <v>43309</v>
      </c>
      <c r="J76" t="s">
        <v>1035</v>
      </c>
      <c r="K76">
        <v>7</v>
      </c>
      <c r="L76" t="s">
        <v>1033</v>
      </c>
      <c r="M76" t="s">
        <v>1037</v>
      </c>
      <c r="N76">
        <v>2018</v>
      </c>
      <c r="O76" t="s">
        <v>1035</v>
      </c>
      <c r="P76">
        <v>1</v>
      </c>
    </row>
    <row r="77" spans="1:16" x14ac:dyDescent="0.3">
      <c r="A77" s="2" t="s">
        <v>175</v>
      </c>
      <c r="B77" s="2" t="s">
        <v>176</v>
      </c>
      <c r="C77" s="2" t="s">
        <v>17</v>
      </c>
      <c r="D77">
        <v>70</v>
      </c>
      <c r="E77" s="2" t="s">
        <v>30</v>
      </c>
      <c r="F77" s="2" t="s">
        <v>19</v>
      </c>
      <c r="G77">
        <v>172826</v>
      </c>
      <c r="H77" s="2" t="s">
        <v>14</v>
      </c>
      <c r="I77" s="3">
        <v>42917</v>
      </c>
      <c r="J77" t="s">
        <v>1038</v>
      </c>
      <c r="K77">
        <v>9</v>
      </c>
      <c r="L77" t="s">
        <v>1036</v>
      </c>
      <c r="M77" t="s">
        <v>1031</v>
      </c>
      <c r="N77">
        <v>2017</v>
      </c>
      <c r="O77" t="s">
        <v>1038</v>
      </c>
      <c r="P77">
        <v>4</v>
      </c>
    </row>
    <row r="78" spans="1:16" x14ac:dyDescent="0.3">
      <c r="A78" s="2" t="s">
        <v>177</v>
      </c>
      <c r="B78" s="2" t="s">
        <v>178</v>
      </c>
      <c r="C78" s="2" t="s">
        <v>17</v>
      </c>
      <c r="D78">
        <v>61</v>
      </c>
      <c r="E78" s="2" t="s">
        <v>12</v>
      </c>
      <c r="F78" s="2" t="s">
        <v>13</v>
      </c>
      <c r="G78">
        <v>155044</v>
      </c>
      <c r="H78" s="2" t="s">
        <v>14</v>
      </c>
      <c r="I78" s="3">
        <v>44584</v>
      </c>
      <c r="J78" t="s">
        <v>1038</v>
      </c>
      <c r="K78">
        <v>4</v>
      </c>
      <c r="L78" t="s">
        <v>1033</v>
      </c>
      <c r="M78" t="s">
        <v>1031</v>
      </c>
      <c r="N78">
        <v>2022</v>
      </c>
      <c r="O78" t="s">
        <v>1038</v>
      </c>
      <c r="P78">
        <v>4</v>
      </c>
    </row>
    <row r="79" spans="1:16" x14ac:dyDescent="0.3">
      <c r="A79" s="2" t="s">
        <v>179</v>
      </c>
      <c r="B79" s="2" t="s">
        <v>180</v>
      </c>
      <c r="C79" s="2" t="s">
        <v>17</v>
      </c>
      <c r="D79">
        <v>61</v>
      </c>
      <c r="E79" s="2" t="s">
        <v>34</v>
      </c>
      <c r="F79" s="2" t="s">
        <v>13</v>
      </c>
      <c r="G79">
        <v>90831</v>
      </c>
      <c r="H79" s="2" t="s">
        <v>14</v>
      </c>
      <c r="I79" s="3">
        <v>43302</v>
      </c>
      <c r="J79" t="s">
        <v>1038</v>
      </c>
      <c r="K79">
        <v>7</v>
      </c>
      <c r="L79" t="s">
        <v>1033</v>
      </c>
      <c r="M79" t="s">
        <v>1037</v>
      </c>
      <c r="N79">
        <v>2018</v>
      </c>
      <c r="O79" t="s">
        <v>1038</v>
      </c>
      <c r="P79">
        <v>4</v>
      </c>
    </row>
    <row r="80" spans="1:16" x14ac:dyDescent="0.3">
      <c r="A80" s="2" t="s">
        <v>181</v>
      </c>
      <c r="B80" s="2" t="s">
        <v>182</v>
      </c>
      <c r="C80" s="2" t="s">
        <v>11</v>
      </c>
      <c r="D80">
        <v>22</v>
      </c>
      <c r="E80" s="2" t="s">
        <v>12</v>
      </c>
      <c r="F80" s="2" t="s">
        <v>31</v>
      </c>
      <c r="G80">
        <v>132217</v>
      </c>
      <c r="H80" s="2" t="s">
        <v>20</v>
      </c>
      <c r="I80" s="3">
        <v>44565</v>
      </c>
      <c r="J80" t="s">
        <v>1035</v>
      </c>
      <c r="K80">
        <v>4</v>
      </c>
      <c r="L80" t="s">
        <v>1033</v>
      </c>
      <c r="M80" t="s">
        <v>1034</v>
      </c>
      <c r="N80">
        <v>2022</v>
      </c>
      <c r="O80" t="s">
        <v>1035</v>
      </c>
      <c r="P80">
        <v>1</v>
      </c>
    </row>
    <row r="81" spans="1:16" x14ac:dyDescent="0.3">
      <c r="A81" s="2" t="s">
        <v>183</v>
      </c>
      <c r="B81" s="2" t="s">
        <v>184</v>
      </c>
      <c r="C81" s="2" t="s">
        <v>17</v>
      </c>
      <c r="D81">
        <v>56</v>
      </c>
      <c r="E81" s="2" t="s">
        <v>30</v>
      </c>
      <c r="F81" s="2" t="s">
        <v>37</v>
      </c>
      <c r="G81">
        <v>61873</v>
      </c>
      <c r="H81" s="2" t="s">
        <v>20</v>
      </c>
      <c r="I81" s="3">
        <v>43200</v>
      </c>
      <c r="J81" t="s">
        <v>1032</v>
      </c>
      <c r="K81">
        <v>8</v>
      </c>
      <c r="L81" t="s">
        <v>1036</v>
      </c>
      <c r="M81" t="s">
        <v>1037</v>
      </c>
      <c r="N81">
        <v>2018</v>
      </c>
      <c r="O81" t="s">
        <v>1032</v>
      </c>
      <c r="P81">
        <v>3</v>
      </c>
    </row>
    <row r="82" spans="1:16" x14ac:dyDescent="0.3">
      <c r="A82" s="2" t="s">
        <v>185</v>
      </c>
      <c r="B82" s="2" t="s">
        <v>186</v>
      </c>
      <c r="C82" s="2" t="s">
        <v>11</v>
      </c>
      <c r="D82">
        <v>21</v>
      </c>
      <c r="E82" s="2" t="s">
        <v>30</v>
      </c>
      <c r="F82" s="2" t="s">
        <v>42</v>
      </c>
      <c r="G82">
        <v>126532</v>
      </c>
      <c r="H82" s="2" t="s">
        <v>14</v>
      </c>
      <c r="I82" s="3">
        <v>45011</v>
      </c>
      <c r="J82" t="s">
        <v>1035</v>
      </c>
      <c r="K82">
        <v>3</v>
      </c>
      <c r="L82" t="s">
        <v>1030</v>
      </c>
      <c r="M82" t="s">
        <v>1034</v>
      </c>
      <c r="N82">
        <v>2023</v>
      </c>
      <c r="O82" t="s">
        <v>1035</v>
      </c>
      <c r="P82">
        <v>1</v>
      </c>
    </row>
    <row r="83" spans="1:16" x14ac:dyDescent="0.3">
      <c r="A83" s="2" t="s">
        <v>187</v>
      </c>
      <c r="B83" s="2" t="s">
        <v>188</v>
      </c>
      <c r="C83" s="2" t="s">
        <v>17</v>
      </c>
      <c r="D83">
        <v>23</v>
      </c>
      <c r="E83" s="2" t="s">
        <v>30</v>
      </c>
      <c r="F83" s="2" t="s">
        <v>19</v>
      </c>
      <c r="G83">
        <v>146267</v>
      </c>
      <c r="H83" s="2" t="s">
        <v>24</v>
      </c>
      <c r="I83" s="3">
        <v>45791</v>
      </c>
      <c r="J83" t="s">
        <v>1035</v>
      </c>
      <c r="K83">
        <v>1</v>
      </c>
      <c r="L83" t="s">
        <v>1039</v>
      </c>
      <c r="M83" t="s">
        <v>1034</v>
      </c>
      <c r="N83">
        <v>2025</v>
      </c>
      <c r="O83" t="s">
        <v>1035</v>
      </c>
      <c r="P83">
        <v>1</v>
      </c>
    </row>
    <row r="84" spans="1:16" x14ac:dyDescent="0.3">
      <c r="A84" s="2" t="s">
        <v>189</v>
      </c>
      <c r="B84" s="2" t="s">
        <v>190</v>
      </c>
      <c r="C84" s="2" t="s">
        <v>11</v>
      </c>
      <c r="D84">
        <v>62</v>
      </c>
      <c r="E84" s="2" t="s">
        <v>12</v>
      </c>
      <c r="F84" s="2" t="s">
        <v>31</v>
      </c>
      <c r="G84">
        <v>160975</v>
      </c>
      <c r="H84" s="2" t="s">
        <v>14</v>
      </c>
      <c r="I84" s="3">
        <v>44302</v>
      </c>
      <c r="J84" t="s">
        <v>1038</v>
      </c>
      <c r="K84">
        <v>5</v>
      </c>
      <c r="L84" t="s">
        <v>1033</v>
      </c>
      <c r="M84" t="s">
        <v>1031</v>
      </c>
      <c r="N84">
        <v>2021</v>
      </c>
      <c r="O84" t="s">
        <v>1038</v>
      </c>
      <c r="P84">
        <v>4</v>
      </c>
    </row>
    <row r="85" spans="1:16" x14ac:dyDescent="0.3">
      <c r="A85" s="2" t="s">
        <v>191</v>
      </c>
      <c r="B85" s="2" t="s">
        <v>192</v>
      </c>
      <c r="C85" s="2" t="s">
        <v>17</v>
      </c>
      <c r="D85">
        <v>49</v>
      </c>
      <c r="E85" s="2" t="s">
        <v>34</v>
      </c>
      <c r="F85" s="2" t="s">
        <v>27</v>
      </c>
      <c r="G85">
        <v>154092</v>
      </c>
      <c r="H85" s="2" t="s">
        <v>24</v>
      </c>
      <c r="I85" s="3">
        <v>44288</v>
      </c>
      <c r="J85" t="s">
        <v>1032</v>
      </c>
      <c r="K85">
        <v>5</v>
      </c>
      <c r="L85" t="s">
        <v>1033</v>
      </c>
      <c r="M85" t="s">
        <v>1031</v>
      </c>
      <c r="N85">
        <v>2021</v>
      </c>
      <c r="O85" t="s">
        <v>1032</v>
      </c>
      <c r="P85">
        <v>3</v>
      </c>
    </row>
    <row r="86" spans="1:16" x14ac:dyDescent="0.3">
      <c r="A86" s="2" t="s">
        <v>193</v>
      </c>
      <c r="B86" s="2" t="s">
        <v>194</v>
      </c>
      <c r="C86" s="2" t="s">
        <v>11</v>
      </c>
      <c r="D86">
        <v>69</v>
      </c>
      <c r="E86" s="2" t="s">
        <v>34</v>
      </c>
      <c r="F86" s="2" t="s">
        <v>37</v>
      </c>
      <c r="G86">
        <v>61755</v>
      </c>
      <c r="H86" s="2" t="s">
        <v>14</v>
      </c>
      <c r="I86" s="3">
        <v>43838</v>
      </c>
      <c r="J86" t="s">
        <v>1038</v>
      </c>
      <c r="K86">
        <v>6</v>
      </c>
      <c r="L86" t="s">
        <v>1033</v>
      </c>
      <c r="M86" t="s">
        <v>1037</v>
      </c>
      <c r="N86">
        <v>2020</v>
      </c>
      <c r="O86" t="s">
        <v>1038</v>
      </c>
      <c r="P86">
        <v>4</v>
      </c>
    </row>
    <row r="87" spans="1:16" x14ac:dyDescent="0.3">
      <c r="A87" s="2" t="s">
        <v>195</v>
      </c>
      <c r="B87" s="2" t="s">
        <v>196</v>
      </c>
      <c r="C87" s="2" t="s">
        <v>11</v>
      </c>
      <c r="D87">
        <v>47</v>
      </c>
      <c r="E87" s="2" t="s">
        <v>12</v>
      </c>
      <c r="F87" s="2" t="s">
        <v>37</v>
      </c>
      <c r="G87">
        <v>105956</v>
      </c>
      <c r="H87" s="2" t="s">
        <v>14</v>
      </c>
      <c r="I87" s="3">
        <v>44285</v>
      </c>
      <c r="J87" t="s">
        <v>1032</v>
      </c>
      <c r="K87">
        <v>5</v>
      </c>
      <c r="L87" t="s">
        <v>1033</v>
      </c>
      <c r="M87" t="s">
        <v>1034</v>
      </c>
      <c r="N87">
        <v>2021</v>
      </c>
      <c r="O87" t="s">
        <v>1032</v>
      </c>
      <c r="P87">
        <v>3</v>
      </c>
    </row>
    <row r="88" spans="1:16" x14ac:dyDescent="0.3">
      <c r="A88" s="2" t="s">
        <v>197</v>
      </c>
      <c r="B88" s="2" t="s">
        <v>198</v>
      </c>
      <c r="C88" s="2" t="s">
        <v>17</v>
      </c>
      <c r="D88">
        <v>64</v>
      </c>
      <c r="E88" s="2" t="s">
        <v>34</v>
      </c>
      <c r="F88" s="2" t="s">
        <v>27</v>
      </c>
      <c r="G88">
        <v>106988</v>
      </c>
      <c r="H88" s="2" t="s">
        <v>14</v>
      </c>
      <c r="I88" s="3">
        <v>45811</v>
      </c>
      <c r="J88" t="s">
        <v>1038</v>
      </c>
      <c r="K88">
        <v>1</v>
      </c>
      <c r="L88" t="s">
        <v>1039</v>
      </c>
      <c r="M88" t="s">
        <v>1034</v>
      </c>
      <c r="N88">
        <v>2025</v>
      </c>
      <c r="O88" t="s">
        <v>1038</v>
      </c>
      <c r="P88">
        <v>4</v>
      </c>
    </row>
    <row r="89" spans="1:16" x14ac:dyDescent="0.3">
      <c r="A89" s="2" t="s">
        <v>199</v>
      </c>
      <c r="B89" s="2" t="s">
        <v>200</v>
      </c>
      <c r="C89" s="2" t="s">
        <v>11</v>
      </c>
      <c r="D89">
        <v>52</v>
      </c>
      <c r="E89" s="2" t="s">
        <v>12</v>
      </c>
      <c r="F89" s="2" t="s">
        <v>42</v>
      </c>
      <c r="G89">
        <v>65648</v>
      </c>
      <c r="H89" s="2" t="s">
        <v>14</v>
      </c>
      <c r="I89" s="3">
        <v>43744</v>
      </c>
      <c r="J89" t="s">
        <v>1032</v>
      </c>
      <c r="K89">
        <v>6</v>
      </c>
      <c r="L89" t="s">
        <v>1033</v>
      </c>
      <c r="M89" t="s">
        <v>1037</v>
      </c>
      <c r="N89">
        <v>2019</v>
      </c>
      <c r="O89" t="s">
        <v>1032</v>
      </c>
      <c r="P89">
        <v>3</v>
      </c>
    </row>
    <row r="90" spans="1:16" x14ac:dyDescent="0.3">
      <c r="A90" s="2" t="s">
        <v>201</v>
      </c>
      <c r="B90" s="2" t="s">
        <v>202</v>
      </c>
      <c r="C90" s="2" t="s">
        <v>17</v>
      </c>
      <c r="D90">
        <v>72</v>
      </c>
      <c r="E90" s="2" t="s">
        <v>34</v>
      </c>
      <c r="F90" s="2" t="s">
        <v>13</v>
      </c>
      <c r="G90">
        <v>145991</v>
      </c>
      <c r="H90" s="2" t="s">
        <v>14</v>
      </c>
      <c r="I90" s="3">
        <v>44205</v>
      </c>
      <c r="J90" t="s">
        <v>1038</v>
      </c>
      <c r="K90">
        <v>5</v>
      </c>
      <c r="L90" t="s">
        <v>1033</v>
      </c>
      <c r="M90" t="s">
        <v>1034</v>
      </c>
      <c r="N90">
        <v>2021</v>
      </c>
      <c r="O90" t="s">
        <v>1038</v>
      </c>
      <c r="P90">
        <v>4</v>
      </c>
    </row>
    <row r="91" spans="1:16" x14ac:dyDescent="0.3">
      <c r="A91" s="2" t="s">
        <v>203</v>
      </c>
      <c r="B91" s="2" t="s">
        <v>204</v>
      </c>
      <c r="C91" s="2" t="s">
        <v>17</v>
      </c>
      <c r="D91">
        <v>57</v>
      </c>
      <c r="E91" s="2" t="s">
        <v>18</v>
      </c>
      <c r="F91" s="2" t="s">
        <v>31</v>
      </c>
      <c r="G91">
        <v>160588</v>
      </c>
      <c r="H91" s="2" t="s">
        <v>14</v>
      </c>
      <c r="I91" s="3">
        <v>42239</v>
      </c>
      <c r="J91" t="s">
        <v>1032</v>
      </c>
      <c r="K91">
        <v>10</v>
      </c>
      <c r="L91" t="s">
        <v>1036</v>
      </c>
      <c r="M91" t="s">
        <v>1031</v>
      </c>
      <c r="N91">
        <v>2015</v>
      </c>
      <c r="O91" t="s">
        <v>1032</v>
      </c>
      <c r="P91">
        <v>3</v>
      </c>
    </row>
    <row r="92" spans="1:16" x14ac:dyDescent="0.3">
      <c r="A92" s="2" t="s">
        <v>205</v>
      </c>
      <c r="B92" s="2" t="s">
        <v>206</v>
      </c>
      <c r="C92" s="2" t="s">
        <v>17</v>
      </c>
      <c r="D92">
        <v>69</v>
      </c>
      <c r="E92" s="2" t="s">
        <v>18</v>
      </c>
      <c r="F92" s="2" t="s">
        <v>23</v>
      </c>
      <c r="G92">
        <v>135005</v>
      </c>
      <c r="H92" s="2" t="s">
        <v>20</v>
      </c>
      <c r="I92" s="3">
        <v>44775</v>
      </c>
      <c r="J92" t="s">
        <v>1038</v>
      </c>
      <c r="K92">
        <v>3</v>
      </c>
      <c r="L92" t="s">
        <v>1030</v>
      </c>
      <c r="M92" t="s">
        <v>1034</v>
      </c>
      <c r="N92">
        <v>2022</v>
      </c>
      <c r="O92" t="s">
        <v>1038</v>
      </c>
      <c r="P92">
        <v>4</v>
      </c>
    </row>
    <row r="93" spans="1:16" x14ac:dyDescent="0.3">
      <c r="A93" s="2" t="s">
        <v>207</v>
      </c>
      <c r="B93" s="2" t="s">
        <v>208</v>
      </c>
      <c r="C93" s="2" t="s">
        <v>17</v>
      </c>
      <c r="D93">
        <v>33</v>
      </c>
      <c r="E93" s="2" t="s">
        <v>30</v>
      </c>
      <c r="F93" s="2" t="s">
        <v>19</v>
      </c>
      <c r="G93">
        <v>22396</v>
      </c>
      <c r="H93" s="2" t="s">
        <v>14</v>
      </c>
      <c r="I93" s="3">
        <v>42531</v>
      </c>
      <c r="J93" t="s">
        <v>1029</v>
      </c>
      <c r="K93">
        <v>10</v>
      </c>
      <c r="L93" t="s">
        <v>1036</v>
      </c>
      <c r="M93" t="s">
        <v>1037</v>
      </c>
      <c r="N93">
        <v>2016</v>
      </c>
      <c r="O93" t="s">
        <v>1029</v>
      </c>
      <c r="P93">
        <v>2</v>
      </c>
    </row>
    <row r="94" spans="1:16" x14ac:dyDescent="0.3">
      <c r="A94" s="2" t="s">
        <v>209</v>
      </c>
      <c r="B94" s="2" t="s">
        <v>210</v>
      </c>
      <c r="C94" s="2" t="s">
        <v>17</v>
      </c>
      <c r="D94">
        <v>30</v>
      </c>
      <c r="E94" s="2" t="s">
        <v>18</v>
      </c>
      <c r="F94" s="2" t="s">
        <v>23</v>
      </c>
      <c r="G94">
        <v>104082</v>
      </c>
      <c r="H94" s="2" t="s">
        <v>14</v>
      </c>
      <c r="I94" s="3">
        <v>43102</v>
      </c>
      <c r="J94" t="s">
        <v>1029</v>
      </c>
      <c r="K94">
        <v>8</v>
      </c>
      <c r="L94" t="s">
        <v>1036</v>
      </c>
      <c r="M94" t="s">
        <v>1034</v>
      </c>
      <c r="N94">
        <v>2018</v>
      </c>
      <c r="O94" t="s">
        <v>1029</v>
      </c>
      <c r="P94">
        <v>2</v>
      </c>
    </row>
    <row r="95" spans="1:16" x14ac:dyDescent="0.3">
      <c r="A95" s="2" t="s">
        <v>211</v>
      </c>
      <c r="B95" s="2" t="s">
        <v>212</v>
      </c>
      <c r="C95" s="2" t="s">
        <v>17</v>
      </c>
      <c r="D95">
        <v>67</v>
      </c>
      <c r="E95" s="2" t="s">
        <v>18</v>
      </c>
      <c r="F95" s="2" t="s">
        <v>27</v>
      </c>
      <c r="G95">
        <v>170201</v>
      </c>
      <c r="H95" s="2" t="s">
        <v>20</v>
      </c>
      <c r="I95" s="3">
        <v>45234</v>
      </c>
      <c r="J95" t="s">
        <v>1038</v>
      </c>
      <c r="K95">
        <v>2</v>
      </c>
      <c r="L95" t="s">
        <v>1030</v>
      </c>
      <c r="M95" t="s">
        <v>1031</v>
      </c>
      <c r="N95">
        <v>2023</v>
      </c>
      <c r="O95" t="s">
        <v>1038</v>
      </c>
      <c r="P95">
        <v>4</v>
      </c>
    </row>
    <row r="96" spans="1:16" x14ac:dyDescent="0.3">
      <c r="A96" s="2" t="s">
        <v>213</v>
      </c>
      <c r="B96" s="2" t="s">
        <v>214</v>
      </c>
      <c r="C96" s="2" t="s">
        <v>17</v>
      </c>
      <c r="D96">
        <v>59</v>
      </c>
      <c r="E96" s="2" t="s">
        <v>18</v>
      </c>
      <c r="F96" s="2" t="s">
        <v>37</v>
      </c>
      <c r="G96">
        <v>148322</v>
      </c>
      <c r="H96" s="2" t="s">
        <v>20</v>
      </c>
      <c r="I96" s="3">
        <v>44381</v>
      </c>
      <c r="J96" t="s">
        <v>1032</v>
      </c>
      <c r="K96">
        <v>5</v>
      </c>
      <c r="L96" t="s">
        <v>1033</v>
      </c>
      <c r="M96" t="s">
        <v>1034</v>
      </c>
      <c r="N96">
        <v>2021</v>
      </c>
      <c r="O96" t="s">
        <v>1032</v>
      </c>
      <c r="P96">
        <v>3</v>
      </c>
    </row>
    <row r="97" spans="1:16" x14ac:dyDescent="0.3">
      <c r="A97" s="2" t="s">
        <v>215</v>
      </c>
      <c r="B97" s="2" t="s">
        <v>216</v>
      </c>
      <c r="C97" s="2" t="s">
        <v>17</v>
      </c>
      <c r="D97">
        <v>47</v>
      </c>
      <c r="E97" s="2" t="s">
        <v>12</v>
      </c>
      <c r="F97" s="2" t="s">
        <v>42</v>
      </c>
      <c r="G97">
        <v>152663</v>
      </c>
      <c r="H97" s="2" t="s">
        <v>14</v>
      </c>
      <c r="I97" s="3">
        <v>42976</v>
      </c>
      <c r="J97" t="s">
        <v>1032</v>
      </c>
      <c r="K97">
        <v>8</v>
      </c>
      <c r="L97" t="s">
        <v>1036</v>
      </c>
      <c r="M97" t="s">
        <v>1031</v>
      </c>
      <c r="N97">
        <v>2017</v>
      </c>
      <c r="O97" t="s">
        <v>1032</v>
      </c>
      <c r="P97">
        <v>3</v>
      </c>
    </row>
    <row r="98" spans="1:16" x14ac:dyDescent="0.3">
      <c r="A98" s="2" t="s">
        <v>217</v>
      </c>
      <c r="B98" s="2" t="s">
        <v>218</v>
      </c>
      <c r="C98" s="2" t="s">
        <v>17</v>
      </c>
      <c r="D98">
        <v>36</v>
      </c>
      <c r="E98" s="2" t="s">
        <v>18</v>
      </c>
      <c r="F98" s="2" t="s">
        <v>37</v>
      </c>
      <c r="G98">
        <v>31303</v>
      </c>
      <c r="H98" s="2" t="s">
        <v>14</v>
      </c>
      <c r="I98" s="3">
        <v>43091</v>
      </c>
      <c r="J98" t="s">
        <v>1029</v>
      </c>
      <c r="K98">
        <v>8</v>
      </c>
      <c r="L98" t="s">
        <v>1036</v>
      </c>
      <c r="M98" t="s">
        <v>1037</v>
      </c>
      <c r="N98">
        <v>2017</v>
      </c>
      <c r="O98" t="s">
        <v>1029</v>
      </c>
      <c r="P98">
        <v>2</v>
      </c>
    </row>
    <row r="99" spans="1:16" x14ac:dyDescent="0.3">
      <c r="A99" s="2" t="s">
        <v>219</v>
      </c>
      <c r="B99" s="2" t="s">
        <v>220</v>
      </c>
      <c r="C99" s="2" t="s">
        <v>17</v>
      </c>
      <c r="D99">
        <v>34</v>
      </c>
      <c r="E99" s="2" t="s">
        <v>18</v>
      </c>
      <c r="F99" s="2" t="s">
        <v>19</v>
      </c>
      <c r="G99">
        <v>181633</v>
      </c>
      <c r="H99" s="2" t="s">
        <v>14</v>
      </c>
      <c r="I99" s="3">
        <v>45099</v>
      </c>
      <c r="J99" t="s">
        <v>1029</v>
      </c>
      <c r="K99">
        <v>3</v>
      </c>
      <c r="L99" t="s">
        <v>1030</v>
      </c>
      <c r="M99" t="s">
        <v>1031</v>
      </c>
      <c r="N99">
        <v>2023</v>
      </c>
      <c r="O99" t="s">
        <v>1029</v>
      </c>
      <c r="P99">
        <v>2</v>
      </c>
    </row>
    <row r="100" spans="1:16" x14ac:dyDescent="0.3">
      <c r="A100" s="2" t="s">
        <v>221</v>
      </c>
      <c r="B100" s="2" t="s">
        <v>222</v>
      </c>
      <c r="C100" s="2" t="s">
        <v>17</v>
      </c>
      <c r="D100">
        <v>73</v>
      </c>
      <c r="E100" s="2" t="s">
        <v>30</v>
      </c>
      <c r="F100" s="2" t="s">
        <v>37</v>
      </c>
      <c r="G100">
        <v>91719</v>
      </c>
      <c r="H100" s="2" t="s">
        <v>14</v>
      </c>
      <c r="I100" s="3">
        <v>44154</v>
      </c>
      <c r="J100" t="s">
        <v>1038</v>
      </c>
      <c r="K100">
        <v>5</v>
      </c>
      <c r="L100" t="s">
        <v>1033</v>
      </c>
      <c r="M100" t="s">
        <v>1037</v>
      </c>
      <c r="N100">
        <v>2020</v>
      </c>
      <c r="O100" t="s">
        <v>1038</v>
      </c>
      <c r="P100">
        <v>4</v>
      </c>
    </row>
    <row r="101" spans="1:16" x14ac:dyDescent="0.3">
      <c r="A101" s="2" t="s">
        <v>223</v>
      </c>
      <c r="B101" s="2" t="s">
        <v>224</v>
      </c>
      <c r="C101" s="2" t="s">
        <v>11</v>
      </c>
      <c r="D101">
        <v>36</v>
      </c>
      <c r="E101" s="2" t="s">
        <v>18</v>
      </c>
      <c r="F101" s="2" t="s">
        <v>37</v>
      </c>
      <c r="G101">
        <v>119616</v>
      </c>
      <c r="H101" s="2" t="s">
        <v>20</v>
      </c>
      <c r="I101" s="3">
        <v>44942</v>
      </c>
      <c r="J101" t="s">
        <v>1029</v>
      </c>
      <c r="K101">
        <v>3</v>
      </c>
      <c r="L101" t="s">
        <v>1030</v>
      </c>
      <c r="M101" t="s">
        <v>1034</v>
      </c>
      <c r="N101">
        <v>2023</v>
      </c>
      <c r="O101" t="s">
        <v>1029</v>
      </c>
      <c r="P101">
        <v>2</v>
      </c>
    </row>
    <row r="102" spans="1:16" x14ac:dyDescent="0.3">
      <c r="A102" s="2" t="s">
        <v>225</v>
      </c>
      <c r="B102" s="2" t="s">
        <v>226</v>
      </c>
      <c r="C102" s="2" t="s">
        <v>11</v>
      </c>
      <c r="D102">
        <v>45</v>
      </c>
      <c r="E102" s="2" t="s">
        <v>18</v>
      </c>
      <c r="F102" s="2" t="s">
        <v>19</v>
      </c>
      <c r="G102">
        <v>144165</v>
      </c>
      <c r="H102" s="2" t="s">
        <v>14</v>
      </c>
      <c r="I102" s="3">
        <v>44018</v>
      </c>
      <c r="J102" t="s">
        <v>1032</v>
      </c>
      <c r="K102">
        <v>5</v>
      </c>
      <c r="L102" t="s">
        <v>1033</v>
      </c>
      <c r="M102" t="s">
        <v>1034</v>
      </c>
      <c r="N102">
        <v>2020</v>
      </c>
      <c r="O102" t="s">
        <v>1032</v>
      </c>
      <c r="P102">
        <v>3</v>
      </c>
    </row>
    <row r="103" spans="1:16" x14ac:dyDescent="0.3">
      <c r="A103" s="2" t="s">
        <v>227</v>
      </c>
      <c r="B103" s="2" t="s">
        <v>228</v>
      </c>
      <c r="C103" s="2" t="s">
        <v>17</v>
      </c>
      <c r="D103">
        <v>72</v>
      </c>
      <c r="E103" s="2" t="s">
        <v>34</v>
      </c>
      <c r="F103" s="2" t="s">
        <v>31</v>
      </c>
      <c r="G103">
        <v>106231</v>
      </c>
      <c r="H103" s="2" t="s">
        <v>14</v>
      </c>
      <c r="I103" s="3">
        <v>44560</v>
      </c>
      <c r="J103" t="s">
        <v>1038</v>
      </c>
      <c r="K103">
        <v>4</v>
      </c>
      <c r="L103" t="s">
        <v>1033</v>
      </c>
      <c r="M103" t="s">
        <v>1034</v>
      </c>
      <c r="N103">
        <v>2021</v>
      </c>
      <c r="O103" t="s">
        <v>1038</v>
      </c>
      <c r="P103">
        <v>4</v>
      </c>
    </row>
    <row r="104" spans="1:16" x14ac:dyDescent="0.3">
      <c r="A104" s="2" t="s">
        <v>229</v>
      </c>
      <c r="B104" s="2" t="s">
        <v>230</v>
      </c>
      <c r="C104" s="2" t="s">
        <v>17</v>
      </c>
      <c r="D104">
        <v>43</v>
      </c>
      <c r="E104" s="2" t="s">
        <v>30</v>
      </c>
      <c r="F104" s="2" t="s">
        <v>31</v>
      </c>
      <c r="G104">
        <v>27314</v>
      </c>
      <c r="H104" s="2" t="s">
        <v>20</v>
      </c>
      <c r="I104" s="3">
        <v>44706</v>
      </c>
      <c r="J104" t="s">
        <v>1029</v>
      </c>
      <c r="K104">
        <v>4</v>
      </c>
      <c r="L104" t="s">
        <v>1033</v>
      </c>
      <c r="M104" t="s">
        <v>1037</v>
      </c>
      <c r="N104">
        <v>2022</v>
      </c>
      <c r="O104" t="s">
        <v>1029</v>
      </c>
      <c r="P104">
        <v>2</v>
      </c>
    </row>
    <row r="105" spans="1:16" x14ac:dyDescent="0.3">
      <c r="A105" s="2" t="s">
        <v>231</v>
      </c>
      <c r="B105" s="2" t="s">
        <v>232</v>
      </c>
      <c r="C105" s="2" t="s">
        <v>17</v>
      </c>
      <c r="D105">
        <v>54</v>
      </c>
      <c r="E105" s="2" t="s">
        <v>30</v>
      </c>
      <c r="F105" s="2" t="s">
        <v>19</v>
      </c>
      <c r="G105">
        <v>39623</v>
      </c>
      <c r="H105" s="2" t="s">
        <v>14</v>
      </c>
      <c r="I105" s="3">
        <v>42645</v>
      </c>
      <c r="J105" t="s">
        <v>1032</v>
      </c>
      <c r="K105">
        <v>9</v>
      </c>
      <c r="L105" t="s">
        <v>1036</v>
      </c>
      <c r="M105" t="s">
        <v>1037</v>
      </c>
      <c r="N105">
        <v>2016</v>
      </c>
      <c r="O105" t="s">
        <v>1032</v>
      </c>
      <c r="P105">
        <v>3</v>
      </c>
    </row>
    <row r="106" spans="1:16" x14ac:dyDescent="0.3">
      <c r="A106" s="2" t="s">
        <v>233</v>
      </c>
      <c r="B106" s="2" t="s">
        <v>234</v>
      </c>
      <c r="C106" s="2" t="s">
        <v>17</v>
      </c>
      <c r="D106">
        <v>43</v>
      </c>
      <c r="E106" s="2" t="s">
        <v>30</v>
      </c>
      <c r="F106" s="2" t="s">
        <v>42</v>
      </c>
      <c r="G106">
        <v>125228</v>
      </c>
      <c r="H106" s="2" t="s">
        <v>14</v>
      </c>
      <c r="I106" s="3">
        <v>45748</v>
      </c>
      <c r="J106" t="s">
        <v>1029</v>
      </c>
      <c r="K106">
        <v>1</v>
      </c>
      <c r="L106" t="s">
        <v>1039</v>
      </c>
      <c r="M106" t="s">
        <v>1034</v>
      </c>
      <c r="N106">
        <v>2025</v>
      </c>
      <c r="O106" t="s">
        <v>1029</v>
      </c>
      <c r="P106">
        <v>2</v>
      </c>
    </row>
    <row r="107" spans="1:16" x14ac:dyDescent="0.3">
      <c r="A107" s="2" t="s">
        <v>235</v>
      </c>
      <c r="B107" s="2" t="s">
        <v>236</v>
      </c>
      <c r="C107" s="2" t="s">
        <v>17</v>
      </c>
      <c r="D107">
        <v>70</v>
      </c>
      <c r="E107" s="2" t="s">
        <v>30</v>
      </c>
      <c r="F107" s="2" t="s">
        <v>27</v>
      </c>
      <c r="G107">
        <v>184202</v>
      </c>
      <c r="H107" s="2" t="s">
        <v>14</v>
      </c>
      <c r="I107" s="3">
        <v>42940</v>
      </c>
      <c r="J107" t="s">
        <v>1038</v>
      </c>
      <c r="K107">
        <v>8</v>
      </c>
      <c r="L107" t="s">
        <v>1036</v>
      </c>
      <c r="M107" t="s">
        <v>1031</v>
      </c>
      <c r="N107">
        <v>2017</v>
      </c>
      <c r="O107" t="s">
        <v>1038</v>
      </c>
      <c r="P107">
        <v>4</v>
      </c>
    </row>
    <row r="108" spans="1:16" x14ac:dyDescent="0.3">
      <c r="A108" s="2" t="s">
        <v>237</v>
      </c>
      <c r="B108" s="2" t="s">
        <v>238</v>
      </c>
      <c r="C108" s="2" t="s">
        <v>17</v>
      </c>
      <c r="D108">
        <v>40</v>
      </c>
      <c r="E108" s="2" t="s">
        <v>30</v>
      </c>
      <c r="F108" s="2" t="s">
        <v>37</v>
      </c>
      <c r="G108">
        <v>117624</v>
      </c>
      <c r="H108" s="2" t="s">
        <v>24</v>
      </c>
      <c r="I108" s="3">
        <v>45720</v>
      </c>
      <c r="J108" t="s">
        <v>1029</v>
      </c>
      <c r="K108">
        <v>1</v>
      </c>
      <c r="L108" t="s">
        <v>1039</v>
      </c>
      <c r="M108" t="s">
        <v>1034</v>
      </c>
      <c r="N108">
        <v>2025</v>
      </c>
      <c r="O108" t="s">
        <v>1029</v>
      </c>
      <c r="P108">
        <v>2</v>
      </c>
    </row>
    <row r="109" spans="1:16" x14ac:dyDescent="0.3">
      <c r="A109" s="2" t="s">
        <v>239</v>
      </c>
      <c r="B109" s="2" t="s">
        <v>240</v>
      </c>
      <c r="C109" s="2" t="s">
        <v>17</v>
      </c>
      <c r="D109">
        <v>26</v>
      </c>
      <c r="E109" s="2" t="s">
        <v>30</v>
      </c>
      <c r="F109" s="2" t="s">
        <v>42</v>
      </c>
      <c r="G109">
        <v>177364</v>
      </c>
      <c r="H109" s="2" t="s">
        <v>14</v>
      </c>
      <c r="I109" s="3">
        <v>44224</v>
      </c>
      <c r="J109" t="s">
        <v>1035</v>
      </c>
      <c r="K109">
        <v>5</v>
      </c>
      <c r="L109" t="s">
        <v>1033</v>
      </c>
      <c r="M109" t="s">
        <v>1031</v>
      </c>
      <c r="N109">
        <v>2021</v>
      </c>
      <c r="O109" t="s">
        <v>1035</v>
      </c>
      <c r="P109">
        <v>1</v>
      </c>
    </row>
    <row r="110" spans="1:16" x14ac:dyDescent="0.3">
      <c r="A110" s="2" t="s">
        <v>241</v>
      </c>
      <c r="B110" s="2" t="s">
        <v>242</v>
      </c>
      <c r="C110" s="2" t="s">
        <v>17</v>
      </c>
      <c r="D110">
        <v>29</v>
      </c>
      <c r="E110" s="2" t="s">
        <v>12</v>
      </c>
      <c r="F110" s="2" t="s">
        <v>37</v>
      </c>
      <c r="G110">
        <v>131785</v>
      </c>
      <c r="H110" s="2" t="s">
        <v>20</v>
      </c>
      <c r="I110" s="3">
        <v>44077</v>
      </c>
      <c r="J110" t="s">
        <v>1029</v>
      </c>
      <c r="K110">
        <v>5</v>
      </c>
      <c r="L110" t="s">
        <v>1033</v>
      </c>
      <c r="M110" t="s">
        <v>1034</v>
      </c>
      <c r="N110">
        <v>2020</v>
      </c>
      <c r="O110" t="s">
        <v>1029</v>
      </c>
      <c r="P110">
        <v>2</v>
      </c>
    </row>
    <row r="111" spans="1:16" x14ac:dyDescent="0.3">
      <c r="A111" s="2" t="s">
        <v>243</v>
      </c>
      <c r="B111" s="2" t="s">
        <v>244</v>
      </c>
      <c r="C111" s="2" t="s">
        <v>11</v>
      </c>
      <c r="D111">
        <v>70</v>
      </c>
      <c r="E111" s="2" t="s">
        <v>18</v>
      </c>
      <c r="F111" s="2" t="s">
        <v>27</v>
      </c>
      <c r="G111">
        <v>106206</v>
      </c>
      <c r="H111" s="2" t="s">
        <v>14</v>
      </c>
      <c r="I111" s="3">
        <v>43256</v>
      </c>
      <c r="J111" t="s">
        <v>1038</v>
      </c>
      <c r="K111">
        <v>8</v>
      </c>
      <c r="L111" t="s">
        <v>1036</v>
      </c>
      <c r="M111" t="s">
        <v>1034</v>
      </c>
      <c r="N111">
        <v>2018</v>
      </c>
      <c r="O111" t="s">
        <v>1038</v>
      </c>
      <c r="P111">
        <v>4</v>
      </c>
    </row>
    <row r="112" spans="1:16" x14ac:dyDescent="0.3">
      <c r="A112" s="2" t="s">
        <v>245</v>
      </c>
      <c r="B112" s="2" t="s">
        <v>246</v>
      </c>
      <c r="C112" s="2" t="s">
        <v>17</v>
      </c>
      <c r="D112">
        <v>18</v>
      </c>
      <c r="E112" s="2" t="s">
        <v>30</v>
      </c>
      <c r="F112" s="2" t="s">
        <v>31</v>
      </c>
      <c r="G112">
        <v>89274</v>
      </c>
      <c r="H112" s="2" t="s">
        <v>14</v>
      </c>
      <c r="I112" s="3">
        <v>43657</v>
      </c>
      <c r="J112" t="s">
        <v>1035</v>
      </c>
      <c r="K112">
        <v>6</v>
      </c>
      <c r="L112" t="s">
        <v>1033</v>
      </c>
      <c r="M112" t="s">
        <v>1037</v>
      </c>
      <c r="N112">
        <v>2019</v>
      </c>
      <c r="O112" t="s">
        <v>1035</v>
      </c>
      <c r="P112">
        <v>1</v>
      </c>
    </row>
    <row r="113" spans="1:16" x14ac:dyDescent="0.3">
      <c r="A113" s="2" t="s">
        <v>247</v>
      </c>
      <c r="B113" s="2" t="s">
        <v>248</v>
      </c>
      <c r="C113" s="2" t="s">
        <v>11</v>
      </c>
      <c r="D113">
        <v>18</v>
      </c>
      <c r="E113" s="2" t="s">
        <v>18</v>
      </c>
      <c r="F113" s="2" t="s">
        <v>42</v>
      </c>
      <c r="G113">
        <v>153541</v>
      </c>
      <c r="H113" s="2" t="s">
        <v>20</v>
      </c>
      <c r="I113" s="3">
        <v>43931</v>
      </c>
      <c r="J113" t="s">
        <v>1035</v>
      </c>
      <c r="K113">
        <v>6</v>
      </c>
      <c r="L113" t="s">
        <v>1033</v>
      </c>
      <c r="M113" t="s">
        <v>1031</v>
      </c>
      <c r="N113">
        <v>2020</v>
      </c>
      <c r="O113" t="s">
        <v>1035</v>
      </c>
      <c r="P113">
        <v>1</v>
      </c>
    </row>
    <row r="114" spans="1:16" x14ac:dyDescent="0.3">
      <c r="A114" s="2" t="s">
        <v>249</v>
      </c>
      <c r="B114" s="2" t="s">
        <v>250</v>
      </c>
      <c r="C114" s="2" t="s">
        <v>17</v>
      </c>
      <c r="D114">
        <v>64</v>
      </c>
      <c r="E114" s="2" t="s">
        <v>18</v>
      </c>
      <c r="F114" s="2" t="s">
        <v>13</v>
      </c>
      <c r="G114">
        <v>73947</v>
      </c>
      <c r="H114" s="2" t="s">
        <v>24</v>
      </c>
      <c r="I114" s="3">
        <v>42445</v>
      </c>
      <c r="J114" t="s">
        <v>1038</v>
      </c>
      <c r="K114">
        <v>10</v>
      </c>
      <c r="L114" t="s">
        <v>1036</v>
      </c>
      <c r="M114" t="s">
        <v>1037</v>
      </c>
      <c r="N114">
        <v>2016</v>
      </c>
      <c r="O114" t="s">
        <v>1038</v>
      </c>
      <c r="P114">
        <v>4</v>
      </c>
    </row>
    <row r="115" spans="1:16" x14ac:dyDescent="0.3">
      <c r="A115" s="2" t="s">
        <v>251</v>
      </c>
      <c r="B115" s="2" t="s">
        <v>252</v>
      </c>
      <c r="C115" s="2" t="s">
        <v>17</v>
      </c>
      <c r="D115">
        <v>51</v>
      </c>
      <c r="E115" s="2" t="s">
        <v>12</v>
      </c>
      <c r="F115" s="2" t="s">
        <v>13</v>
      </c>
      <c r="G115">
        <v>173606</v>
      </c>
      <c r="H115" s="2" t="s">
        <v>20</v>
      </c>
      <c r="I115" s="3">
        <v>43658</v>
      </c>
      <c r="J115" t="s">
        <v>1032</v>
      </c>
      <c r="K115">
        <v>6</v>
      </c>
      <c r="L115" t="s">
        <v>1033</v>
      </c>
      <c r="M115" t="s">
        <v>1031</v>
      </c>
      <c r="N115">
        <v>2019</v>
      </c>
      <c r="O115" t="s">
        <v>1032</v>
      </c>
      <c r="P115">
        <v>3</v>
      </c>
    </row>
    <row r="116" spans="1:16" x14ac:dyDescent="0.3">
      <c r="A116" s="2" t="s">
        <v>253</v>
      </c>
      <c r="B116" s="2" t="s">
        <v>254</v>
      </c>
      <c r="C116" s="2" t="s">
        <v>11</v>
      </c>
      <c r="D116">
        <v>49</v>
      </c>
      <c r="E116" s="2" t="s">
        <v>30</v>
      </c>
      <c r="F116" s="2" t="s">
        <v>13</v>
      </c>
      <c r="G116">
        <v>68874</v>
      </c>
      <c r="H116" s="2" t="s">
        <v>20</v>
      </c>
      <c r="I116" s="3">
        <v>45532</v>
      </c>
      <c r="J116" t="s">
        <v>1032</v>
      </c>
      <c r="K116">
        <v>1</v>
      </c>
      <c r="L116" t="s">
        <v>1039</v>
      </c>
      <c r="M116" t="s">
        <v>1037</v>
      </c>
      <c r="N116">
        <v>2024</v>
      </c>
      <c r="O116" t="s">
        <v>1032</v>
      </c>
      <c r="P116">
        <v>3</v>
      </c>
    </row>
    <row r="117" spans="1:16" x14ac:dyDescent="0.3">
      <c r="A117" s="2" t="s">
        <v>255</v>
      </c>
      <c r="B117" s="2" t="s">
        <v>256</v>
      </c>
      <c r="C117" s="2" t="s">
        <v>17</v>
      </c>
      <c r="D117">
        <v>71</v>
      </c>
      <c r="E117" s="2" t="s">
        <v>34</v>
      </c>
      <c r="F117" s="2" t="s">
        <v>31</v>
      </c>
      <c r="G117">
        <v>69708</v>
      </c>
      <c r="H117" s="2" t="s">
        <v>20</v>
      </c>
      <c r="I117" s="3">
        <v>45797</v>
      </c>
      <c r="J117" t="s">
        <v>1038</v>
      </c>
      <c r="K117">
        <v>1</v>
      </c>
      <c r="L117" t="s">
        <v>1039</v>
      </c>
      <c r="M117" t="s">
        <v>1037</v>
      </c>
      <c r="N117">
        <v>2025</v>
      </c>
      <c r="O117" t="s">
        <v>1038</v>
      </c>
      <c r="P117">
        <v>4</v>
      </c>
    </row>
    <row r="118" spans="1:16" x14ac:dyDescent="0.3">
      <c r="A118" s="2" t="s">
        <v>257</v>
      </c>
      <c r="B118" s="2" t="s">
        <v>258</v>
      </c>
      <c r="C118" s="2" t="s">
        <v>11</v>
      </c>
      <c r="D118">
        <v>65</v>
      </c>
      <c r="E118" s="2" t="s">
        <v>12</v>
      </c>
      <c r="F118" s="2" t="s">
        <v>31</v>
      </c>
      <c r="G118">
        <v>94553</v>
      </c>
      <c r="H118" s="2" t="s">
        <v>14</v>
      </c>
      <c r="I118" s="3">
        <v>45706</v>
      </c>
      <c r="J118" t="s">
        <v>1038</v>
      </c>
      <c r="K118">
        <v>1</v>
      </c>
      <c r="L118" t="s">
        <v>1039</v>
      </c>
      <c r="M118" t="s">
        <v>1037</v>
      </c>
      <c r="N118">
        <v>2025</v>
      </c>
      <c r="O118" t="s">
        <v>1038</v>
      </c>
      <c r="P118">
        <v>4</v>
      </c>
    </row>
    <row r="119" spans="1:16" x14ac:dyDescent="0.3">
      <c r="A119" s="2" t="s">
        <v>259</v>
      </c>
      <c r="B119" s="2" t="s">
        <v>260</v>
      </c>
      <c r="C119" s="2" t="s">
        <v>17</v>
      </c>
      <c r="D119">
        <v>42</v>
      </c>
      <c r="E119" s="2" t="s">
        <v>34</v>
      </c>
      <c r="F119" s="2" t="s">
        <v>27</v>
      </c>
      <c r="G119">
        <v>88344</v>
      </c>
      <c r="H119" s="2" t="s">
        <v>14</v>
      </c>
      <c r="I119" s="3">
        <v>45720</v>
      </c>
      <c r="J119" t="s">
        <v>1029</v>
      </c>
      <c r="K119">
        <v>1</v>
      </c>
      <c r="L119" t="s">
        <v>1039</v>
      </c>
      <c r="M119" t="s">
        <v>1037</v>
      </c>
      <c r="N119">
        <v>2025</v>
      </c>
      <c r="O119" t="s">
        <v>1029</v>
      </c>
      <c r="P119">
        <v>2</v>
      </c>
    </row>
    <row r="120" spans="1:16" x14ac:dyDescent="0.3">
      <c r="A120" s="2" t="s">
        <v>261</v>
      </c>
      <c r="B120" s="2" t="s">
        <v>262</v>
      </c>
      <c r="C120" s="2" t="s">
        <v>17</v>
      </c>
      <c r="D120">
        <v>57</v>
      </c>
      <c r="E120" s="2" t="s">
        <v>18</v>
      </c>
      <c r="F120" s="2" t="s">
        <v>37</v>
      </c>
      <c r="G120">
        <v>69138</v>
      </c>
      <c r="H120" s="2" t="s">
        <v>20</v>
      </c>
      <c r="I120" s="3">
        <v>43821</v>
      </c>
      <c r="J120" t="s">
        <v>1032</v>
      </c>
      <c r="K120">
        <v>6</v>
      </c>
      <c r="L120" t="s">
        <v>1033</v>
      </c>
      <c r="M120" t="s">
        <v>1037</v>
      </c>
      <c r="N120">
        <v>2019</v>
      </c>
      <c r="O120" t="s">
        <v>1032</v>
      </c>
      <c r="P120">
        <v>3</v>
      </c>
    </row>
    <row r="121" spans="1:16" x14ac:dyDescent="0.3">
      <c r="A121" s="2" t="s">
        <v>263</v>
      </c>
      <c r="B121" s="2" t="s">
        <v>264</v>
      </c>
      <c r="C121" s="2" t="s">
        <v>11</v>
      </c>
      <c r="D121">
        <v>62</v>
      </c>
      <c r="E121" s="2" t="s">
        <v>18</v>
      </c>
      <c r="F121" s="2" t="s">
        <v>27</v>
      </c>
      <c r="G121">
        <v>67638</v>
      </c>
      <c r="H121" s="2" t="s">
        <v>14</v>
      </c>
      <c r="I121" s="3">
        <v>43555</v>
      </c>
      <c r="J121" t="s">
        <v>1038</v>
      </c>
      <c r="K121">
        <v>7</v>
      </c>
      <c r="L121" t="s">
        <v>1033</v>
      </c>
      <c r="M121" t="s">
        <v>1037</v>
      </c>
      <c r="N121">
        <v>2019</v>
      </c>
      <c r="O121" t="s">
        <v>1038</v>
      </c>
      <c r="P121">
        <v>4</v>
      </c>
    </row>
    <row r="122" spans="1:16" x14ac:dyDescent="0.3">
      <c r="A122" s="2" t="s">
        <v>265</v>
      </c>
      <c r="B122" s="2" t="s">
        <v>266</v>
      </c>
      <c r="C122" s="2" t="s">
        <v>17</v>
      </c>
      <c r="D122">
        <v>70</v>
      </c>
      <c r="E122" s="2" t="s">
        <v>12</v>
      </c>
      <c r="F122" s="2" t="s">
        <v>27</v>
      </c>
      <c r="G122">
        <v>98249</v>
      </c>
      <c r="H122" s="2" t="s">
        <v>20</v>
      </c>
      <c r="I122" s="3">
        <v>45094</v>
      </c>
      <c r="J122" t="s">
        <v>1038</v>
      </c>
      <c r="K122">
        <v>3</v>
      </c>
      <c r="L122" t="s">
        <v>1030</v>
      </c>
      <c r="M122" t="s">
        <v>1037</v>
      </c>
      <c r="N122">
        <v>2023</v>
      </c>
      <c r="O122" t="s">
        <v>1038</v>
      </c>
      <c r="P122">
        <v>4</v>
      </c>
    </row>
    <row r="123" spans="1:16" x14ac:dyDescent="0.3">
      <c r="A123" s="2" t="s">
        <v>267</v>
      </c>
      <c r="B123" s="2" t="s">
        <v>268</v>
      </c>
      <c r="C123" s="2" t="s">
        <v>11</v>
      </c>
      <c r="D123">
        <v>18</v>
      </c>
      <c r="E123" s="2" t="s">
        <v>12</v>
      </c>
      <c r="F123" s="2" t="s">
        <v>31</v>
      </c>
      <c r="G123">
        <v>125865</v>
      </c>
      <c r="H123" s="2" t="s">
        <v>24</v>
      </c>
      <c r="I123" s="3">
        <v>42270</v>
      </c>
      <c r="J123" t="s">
        <v>1035</v>
      </c>
      <c r="K123">
        <v>10</v>
      </c>
      <c r="L123" t="s">
        <v>1036</v>
      </c>
      <c r="M123" t="s">
        <v>1034</v>
      </c>
      <c r="N123">
        <v>2015</v>
      </c>
      <c r="O123" t="s">
        <v>1035</v>
      </c>
      <c r="P123">
        <v>1</v>
      </c>
    </row>
    <row r="124" spans="1:16" x14ac:dyDescent="0.3">
      <c r="A124" s="2" t="s">
        <v>269</v>
      </c>
      <c r="B124" s="2" t="s">
        <v>270</v>
      </c>
      <c r="C124" s="2" t="s">
        <v>17</v>
      </c>
      <c r="D124">
        <v>33</v>
      </c>
      <c r="E124" s="2" t="s">
        <v>34</v>
      </c>
      <c r="F124" s="2" t="s">
        <v>13</v>
      </c>
      <c r="G124">
        <v>22719</v>
      </c>
      <c r="H124" s="2" t="s">
        <v>14</v>
      </c>
      <c r="I124" s="3">
        <v>42921</v>
      </c>
      <c r="J124" t="s">
        <v>1029</v>
      </c>
      <c r="K124">
        <v>9</v>
      </c>
      <c r="L124" t="s">
        <v>1036</v>
      </c>
      <c r="M124" t="s">
        <v>1037</v>
      </c>
      <c r="N124">
        <v>2017</v>
      </c>
      <c r="O124" t="s">
        <v>1029</v>
      </c>
      <c r="P124">
        <v>2</v>
      </c>
    </row>
    <row r="125" spans="1:16" x14ac:dyDescent="0.3">
      <c r="A125" s="2" t="s">
        <v>271</v>
      </c>
      <c r="B125" s="2" t="s">
        <v>272</v>
      </c>
      <c r="C125" s="2" t="s">
        <v>11</v>
      </c>
      <c r="D125">
        <v>56</v>
      </c>
      <c r="E125" s="2" t="s">
        <v>30</v>
      </c>
      <c r="F125" s="2" t="s">
        <v>23</v>
      </c>
      <c r="G125">
        <v>173962</v>
      </c>
      <c r="H125" s="2" t="s">
        <v>14</v>
      </c>
      <c r="I125" s="3">
        <v>44752</v>
      </c>
      <c r="J125" t="s">
        <v>1032</v>
      </c>
      <c r="K125">
        <v>3</v>
      </c>
      <c r="L125" t="s">
        <v>1030</v>
      </c>
      <c r="M125" t="s">
        <v>1031</v>
      </c>
      <c r="N125">
        <v>2022</v>
      </c>
      <c r="O125" t="s">
        <v>1032</v>
      </c>
      <c r="P125">
        <v>3</v>
      </c>
    </row>
    <row r="126" spans="1:16" x14ac:dyDescent="0.3">
      <c r="A126" s="2" t="s">
        <v>273</v>
      </c>
      <c r="B126" s="2" t="s">
        <v>274</v>
      </c>
      <c r="C126" s="2" t="s">
        <v>11</v>
      </c>
      <c r="D126">
        <v>22</v>
      </c>
      <c r="E126" s="2" t="s">
        <v>34</v>
      </c>
      <c r="F126" s="2" t="s">
        <v>37</v>
      </c>
      <c r="G126">
        <v>187581</v>
      </c>
      <c r="H126" s="2" t="s">
        <v>20</v>
      </c>
      <c r="I126" s="3">
        <v>42754</v>
      </c>
      <c r="J126" t="s">
        <v>1035</v>
      </c>
      <c r="K126">
        <v>9</v>
      </c>
      <c r="L126" t="s">
        <v>1036</v>
      </c>
      <c r="M126" t="s">
        <v>1031</v>
      </c>
      <c r="N126">
        <v>2017</v>
      </c>
      <c r="O126" t="s">
        <v>1035</v>
      </c>
      <c r="P126">
        <v>1</v>
      </c>
    </row>
    <row r="127" spans="1:16" x14ac:dyDescent="0.3">
      <c r="A127" s="2" t="s">
        <v>275</v>
      </c>
      <c r="B127" s="2" t="s">
        <v>276</v>
      </c>
      <c r="C127" s="2" t="s">
        <v>17</v>
      </c>
      <c r="D127">
        <v>39</v>
      </c>
      <c r="E127" s="2" t="s">
        <v>12</v>
      </c>
      <c r="F127" s="2" t="s">
        <v>31</v>
      </c>
      <c r="G127">
        <v>62534</v>
      </c>
      <c r="H127" s="2" t="s">
        <v>14</v>
      </c>
      <c r="I127" s="3">
        <v>43891</v>
      </c>
      <c r="J127" t="s">
        <v>1029</v>
      </c>
      <c r="K127">
        <v>6</v>
      </c>
      <c r="L127" t="s">
        <v>1033</v>
      </c>
      <c r="M127" t="s">
        <v>1037</v>
      </c>
      <c r="N127">
        <v>2020</v>
      </c>
      <c r="O127" t="s">
        <v>1029</v>
      </c>
      <c r="P127">
        <v>2</v>
      </c>
    </row>
    <row r="128" spans="1:16" x14ac:dyDescent="0.3">
      <c r="A128" s="2" t="s">
        <v>277</v>
      </c>
      <c r="B128" s="2" t="s">
        <v>278</v>
      </c>
      <c r="C128" s="2" t="s">
        <v>17</v>
      </c>
      <c r="D128">
        <v>46</v>
      </c>
      <c r="E128" s="2" t="s">
        <v>34</v>
      </c>
      <c r="F128" s="2" t="s">
        <v>13</v>
      </c>
      <c r="G128">
        <v>112241</v>
      </c>
      <c r="H128" s="2" t="s">
        <v>20</v>
      </c>
      <c r="I128" s="3">
        <v>42374</v>
      </c>
      <c r="J128" t="s">
        <v>1032</v>
      </c>
      <c r="K128">
        <v>10</v>
      </c>
      <c r="L128" t="s">
        <v>1036</v>
      </c>
      <c r="M128" t="s">
        <v>1034</v>
      </c>
      <c r="N128">
        <v>2016</v>
      </c>
      <c r="O128" t="s">
        <v>1032</v>
      </c>
      <c r="P128">
        <v>3</v>
      </c>
    </row>
    <row r="129" spans="1:16" x14ac:dyDescent="0.3">
      <c r="A129" s="2" t="s">
        <v>279</v>
      </c>
      <c r="B129" s="2" t="s">
        <v>280</v>
      </c>
      <c r="C129" s="2" t="s">
        <v>11</v>
      </c>
      <c r="D129">
        <v>72</v>
      </c>
      <c r="E129" s="2" t="s">
        <v>12</v>
      </c>
      <c r="F129" s="2" t="s">
        <v>42</v>
      </c>
      <c r="G129">
        <v>169859</v>
      </c>
      <c r="H129" s="2" t="s">
        <v>14</v>
      </c>
      <c r="I129" s="3">
        <v>45039</v>
      </c>
      <c r="J129" t="s">
        <v>1038</v>
      </c>
      <c r="K129">
        <v>3</v>
      </c>
      <c r="L129" t="s">
        <v>1030</v>
      </c>
      <c r="M129" t="s">
        <v>1031</v>
      </c>
      <c r="N129">
        <v>2023</v>
      </c>
      <c r="O129" t="s">
        <v>1038</v>
      </c>
      <c r="P129">
        <v>4</v>
      </c>
    </row>
    <row r="130" spans="1:16" x14ac:dyDescent="0.3">
      <c r="A130" s="2" t="s">
        <v>281</v>
      </c>
      <c r="B130" s="2" t="s">
        <v>282</v>
      </c>
      <c r="C130" s="2" t="s">
        <v>17</v>
      </c>
      <c r="D130">
        <v>20</v>
      </c>
      <c r="E130" s="2" t="s">
        <v>34</v>
      </c>
      <c r="F130" s="2" t="s">
        <v>23</v>
      </c>
      <c r="G130">
        <v>146209</v>
      </c>
      <c r="H130" s="2" t="s">
        <v>20</v>
      </c>
      <c r="I130" s="3">
        <v>43517</v>
      </c>
      <c r="J130" t="s">
        <v>1035</v>
      </c>
      <c r="K130">
        <v>7</v>
      </c>
      <c r="L130" t="s">
        <v>1033</v>
      </c>
      <c r="M130" t="s">
        <v>1034</v>
      </c>
      <c r="N130">
        <v>2019</v>
      </c>
      <c r="O130" t="s">
        <v>1035</v>
      </c>
      <c r="P130">
        <v>1</v>
      </c>
    </row>
    <row r="131" spans="1:16" x14ac:dyDescent="0.3">
      <c r="A131" s="2" t="s">
        <v>283</v>
      </c>
      <c r="B131" s="2" t="s">
        <v>284</v>
      </c>
      <c r="C131" s="2" t="s">
        <v>17</v>
      </c>
      <c r="D131">
        <v>29</v>
      </c>
      <c r="E131" s="2" t="s">
        <v>12</v>
      </c>
      <c r="F131" s="2" t="s">
        <v>23</v>
      </c>
      <c r="G131">
        <v>199917</v>
      </c>
      <c r="H131" s="2" t="s">
        <v>14</v>
      </c>
      <c r="I131" s="3">
        <v>45498</v>
      </c>
      <c r="J131" t="s">
        <v>1029</v>
      </c>
      <c r="K131">
        <v>1</v>
      </c>
      <c r="L131" t="s">
        <v>1039</v>
      </c>
      <c r="M131" t="s">
        <v>1031</v>
      </c>
      <c r="N131">
        <v>2024</v>
      </c>
      <c r="O131" t="s">
        <v>1029</v>
      </c>
      <c r="P131">
        <v>2</v>
      </c>
    </row>
    <row r="132" spans="1:16" x14ac:dyDescent="0.3">
      <c r="A132" s="2" t="s">
        <v>285</v>
      </c>
      <c r="B132" s="2" t="s">
        <v>286</v>
      </c>
      <c r="C132" s="2" t="s">
        <v>17</v>
      </c>
      <c r="D132">
        <v>43</v>
      </c>
      <c r="E132" s="2" t="s">
        <v>12</v>
      </c>
      <c r="F132" s="2" t="s">
        <v>31</v>
      </c>
      <c r="G132">
        <v>112124</v>
      </c>
      <c r="H132" s="2" t="s">
        <v>20</v>
      </c>
      <c r="I132" s="3">
        <v>43955</v>
      </c>
      <c r="J132" t="s">
        <v>1029</v>
      </c>
      <c r="K132">
        <v>6</v>
      </c>
      <c r="L132" t="s">
        <v>1033</v>
      </c>
      <c r="M132" t="s">
        <v>1034</v>
      </c>
      <c r="N132">
        <v>2020</v>
      </c>
      <c r="O132" t="s">
        <v>1029</v>
      </c>
      <c r="P132">
        <v>2</v>
      </c>
    </row>
    <row r="133" spans="1:16" x14ac:dyDescent="0.3">
      <c r="A133" s="2" t="s">
        <v>287</v>
      </c>
      <c r="B133" s="2" t="s">
        <v>288</v>
      </c>
      <c r="C133" s="2" t="s">
        <v>11</v>
      </c>
      <c r="D133">
        <v>33</v>
      </c>
      <c r="E133" s="2" t="s">
        <v>12</v>
      </c>
      <c r="F133" s="2" t="s">
        <v>19</v>
      </c>
      <c r="G133">
        <v>111659</v>
      </c>
      <c r="H133" s="2" t="s">
        <v>14</v>
      </c>
      <c r="I133" s="3">
        <v>43143</v>
      </c>
      <c r="J133" t="s">
        <v>1029</v>
      </c>
      <c r="K133">
        <v>8</v>
      </c>
      <c r="L133" t="s">
        <v>1036</v>
      </c>
      <c r="M133" t="s">
        <v>1034</v>
      </c>
      <c r="N133">
        <v>2018</v>
      </c>
      <c r="O133" t="s">
        <v>1029</v>
      </c>
      <c r="P133">
        <v>2</v>
      </c>
    </row>
    <row r="134" spans="1:16" x14ac:dyDescent="0.3">
      <c r="A134" s="2" t="s">
        <v>289</v>
      </c>
      <c r="B134" s="2" t="s">
        <v>290</v>
      </c>
      <c r="C134" s="2" t="s">
        <v>11</v>
      </c>
      <c r="D134">
        <v>68</v>
      </c>
      <c r="E134" s="2" t="s">
        <v>30</v>
      </c>
      <c r="F134" s="2" t="s">
        <v>37</v>
      </c>
      <c r="G134">
        <v>184134</v>
      </c>
      <c r="H134" s="2" t="s">
        <v>14</v>
      </c>
      <c r="I134" s="3">
        <v>44454</v>
      </c>
      <c r="J134" t="s">
        <v>1038</v>
      </c>
      <c r="K134">
        <v>4</v>
      </c>
      <c r="L134" t="s">
        <v>1033</v>
      </c>
      <c r="M134" t="s">
        <v>1031</v>
      </c>
      <c r="N134">
        <v>2021</v>
      </c>
      <c r="O134" t="s">
        <v>1038</v>
      </c>
      <c r="P134">
        <v>4</v>
      </c>
    </row>
    <row r="135" spans="1:16" x14ac:dyDescent="0.3">
      <c r="A135" s="2" t="s">
        <v>291</v>
      </c>
      <c r="B135" s="2" t="s">
        <v>292</v>
      </c>
      <c r="C135" s="2" t="s">
        <v>11</v>
      </c>
      <c r="D135">
        <v>54</v>
      </c>
      <c r="E135" s="2" t="s">
        <v>34</v>
      </c>
      <c r="F135" s="2" t="s">
        <v>23</v>
      </c>
      <c r="G135">
        <v>95713</v>
      </c>
      <c r="H135" s="2" t="s">
        <v>14</v>
      </c>
      <c r="I135" s="3">
        <v>43302</v>
      </c>
      <c r="J135" t="s">
        <v>1032</v>
      </c>
      <c r="K135">
        <v>7</v>
      </c>
      <c r="L135" t="s">
        <v>1033</v>
      </c>
      <c r="M135" t="s">
        <v>1037</v>
      </c>
      <c r="N135">
        <v>2018</v>
      </c>
      <c r="O135" t="s">
        <v>1032</v>
      </c>
      <c r="P135">
        <v>3</v>
      </c>
    </row>
    <row r="136" spans="1:16" x14ac:dyDescent="0.3">
      <c r="A136" s="2" t="s">
        <v>293</v>
      </c>
      <c r="B136" s="2" t="s">
        <v>294</v>
      </c>
      <c r="C136" s="2" t="s">
        <v>11</v>
      </c>
      <c r="D136">
        <v>39</v>
      </c>
      <c r="E136" s="2" t="s">
        <v>34</v>
      </c>
      <c r="F136" s="2" t="s">
        <v>31</v>
      </c>
      <c r="G136">
        <v>95418</v>
      </c>
      <c r="H136" s="2" t="s">
        <v>20</v>
      </c>
      <c r="I136" s="3">
        <v>43262</v>
      </c>
      <c r="J136" t="s">
        <v>1029</v>
      </c>
      <c r="K136">
        <v>8</v>
      </c>
      <c r="L136" t="s">
        <v>1036</v>
      </c>
      <c r="M136" t="s">
        <v>1037</v>
      </c>
      <c r="N136">
        <v>2018</v>
      </c>
      <c r="O136" t="s">
        <v>1029</v>
      </c>
      <c r="P136">
        <v>2</v>
      </c>
    </row>
    <row r="137" spans="1:16" x14ac:dyDescent="0.3">
      <c r="A137" s="2" t="s">
        <v>295</v>
      </c>
      <c r="B137" s="2" t="s">
        <v>296</v>
      </c>
      <c r="C137" s="2" t="s">
        <v>11</v>
      </c>
      <c r="D137">
        <v>74</v>
      </c>
      <c r="E137" s="2" t="s">
        <v>34</v>
      </c>
      <c r="F137" s="2" t="s">
        <v>31</v>
      </c>
      <c r="G137">
        <v>148232</v>
      </c>
      <c r="H137" s="2" t="s">
        <v>20</v>
      </c>
      <c r="I137" s="3">
        <v>45439</v>
      </c>
      <c r="J137" t="s">
        <v>1038</v>
      </c>
      <c r="K137">
        <v>2</v>
      </c>
      <c r="L137" t="s">
        <v>1030</v>
      </c>
      <c r="M137" t="s">
        <v>1034</v>
      </c>
      <c r="N137">
        <v>2024</v>
      </c>
      <c r="O137" t="s">
        <v>1038</v>
      </c>
      <c r="P137">
        <v>4</v>
      </c>
    </row>
    <row r="138" spans="1:16" x14ac:dyDescent="0.3">
      <c r="A138" s="2" t="s">
        <v>297</v>
      </c>
      <c r="B138" s="2" t="s">
        <v>298</v>
      </c>
      <c r="C138" s="2" t="s">
        <v>11</v>
      </c>
      <c r="D138">
        <v>46</v>
      </c>
      <c r="E138" s="2" t="s">
        <v>12</v>
      </c>
      <c r="F138" s="2" t="s">
        <v>13</v>
      </c>
      <c r="G138">
        <v>185904</v>
      </c>
      <c r="H138" s="2" t="s">
        <v>14</v>
      </c>
      <c r="I138" s="3">
        <v>43594</v>
      </c>
      <c r="J138" t="s">
        <v>1032</v>
      </c>
      <c r="K138">
        <v>7</v>
      </c>
      <c r="L138" t="s">
        <v>1033</v>
      </c>
      <c r="M138" t="s">
        <v>1031</v>
      </c>
      <c r="N138">
        <v>2019</v>
      </c>
      <c r="O138" t="s">
        <v>1032</v>
      </c>
      <c r="P138">
        <v>3</v>
      </c>
    </row>
    <row r="139" spans="1:16" x14ac:dyDescent="0.3">
      <c r="A139" s="2" t="s">
        <v>299</v>
      </c>
      <c r="B139" s="2" t="s">
        <v>300</v>
      </c>
      <c r="C139" s="2" t="s">
        <v>11</v>
      </c>
      <c r="D139">
        <v>31</v>
      </c>
      <c r="E139" s="2" t="s">
        <v>34</v>
      </c>
      <c r="F139" s="2" t="s">
        <v>42</v>
      </c>
      <c r="G139">
        <v>183038</v>
      </c>
      <c r="H139" s="2" t="s">
        <v>14</v>
      </c>
      <c r="I139" s="3">
        <v>42817</v>
      </c>
      <c r="J139" t="s">
        <v>1029</v>
      </c>
      <c r="K139">
        <v>9</v>
      </c>
      <c r="L139" t="s">
        <v>1036</v>
      </c>
      <c r="M139" t="s">
        <v>1031</v>
      </c>
      <c r="N139">
        <v>2017</v>
      </c>
      <c r="O139" t="s">
        <v>1029</v>
      </c>
      <c r="P139">
        <v>2</v>
      </c>
    </row>
    <row r="140" spans="1:16" x14ac:dyDescent="0.3">
      <c r="A140" s="2" t="s">
        <v>301</v>
      </c>
      <c r="B140" s="2" t="s">
        <v>302</v>
      </c>
      <c r="C140" s="2" t="s">
        <v>11</v>
      </c>
      <c r="D140">
        <v>45</v>
      </c>
      <c r="E140" s="2" t="s">
        <v>34</v>
      </c>
      <c r="F140" s="2" t="s">
        <v>19</v>
      </c>
      <c r="G140">
        <v>164059</v>
      </c>
      <c r="H140" s="2" t="s">
        <v>14</v>
      </c>
      <c r="I140" s="3">
        <v>45619</v>
      </c>
      <c r="J140" t="s">
        <v>1032</v>
      </c>
      <c r="K140">
        <v>1</v>
      </c>
      <c r="L140" t="s">
        <v>1039</v>
      </c>
      <c r="M140" t="s">
        <v>1031</v>
      </c>
      <c r="N140">
        <v>2024</v>
      </c>
      <c r="O140" t="s">
        <v>1032</v>
      </c>
      <c r="P140">
        <v>3</v>
      </c>
    </row>
    <row r="141" spans="1:16" x14ac:dyDescent="0.3">
      <c r="A141" s="2" t="s">
        <v>303</v>
      </c>
      <c r="B141" s="2" t="s">
        <v>304</v>
      </c>
      <c r="C141" s="2" t="s">
        <v>11</v>
      </c>
      <c r="D141">
        <v>22</v>
      </c>
      <c r="E141" s="2" t="s">
        <v>12</v>
      </c>
      <c r="F141" s="2" t="s">
        <v>37</v>
      </c>
      <c r="G141">
        <v>188383</v>
      </c>
      <c r="H141" s="2" t="s">
        <v>20</v>
      </c>
      <c r="I141" s="3">
        <v>43371</v>
      </c>
      <c r="J141" t="s">
        <v>1035</v>
      </c>
      <c r="K141">
        <v>7</v>
      </c>
      <c r="L141" t="s">
        <v>1033</v>
      </c>
      <c r="M141" t="s">
        <v>1031</v>
      </c>
      <c r="N141">
        <v>2018</v>
      </c>
      <c r="O141" t="s">
        <v>1035</v>
      </c>
      <c r="P141">
        <v>1</v>
      </c>
    </row>
    <row r="142" spans="1:16" x14ac:dyDescent="0.3">
      <c r="A142" s="2" t="s">
        <v>305</v>
      </c>
      <c r="B142" s="2" t="s">
        <v>306</v>
      </c>
      <c r="C142" s="2" t="s">
        <v>17</v>
      </c>
      <c r="D142">
        <v>64</v>
      </c>
      <c r="E142" s="2" t="s">
        <v>18</v>
      </c>
      <c r="F142" s="2" t="s">
        <v>27</v>
      </c>
      <c r="G142">
        <v>51575</v>
      </c>
      <c r="H142" s="2" t="s">
        <v>20</v>
      </c>
      <c r="I142" s="3">
        <v>43326</v>
      </c>
      <c r="J142" t="s">
        <v>1038</v>
      </c>
      <c r="K142">
        <v>7</v>
      </c>
      <c r="L142" t="s">
        <v>1033</v>
      </c>
      <c r="M142" t="s">
        <v>1037</v>
      </c>
      <c r="N142">
        <v>2018</v>
      </c>
      <c r="O142" t="s">
        <v>1038</v>
      </c>
      <c r="P142">
        <v>4</v>
      </c>
    </row>
    <row r="143" spans="1:16" x14ac:dyDescent="0.3">
      <c r="A143" s="2" t="s">
        <v>307</v>
      </c>
      <c r="B143" s="2" t="s">
        <v>308</v>
      </c>
      <c r="C143" s="2" t="s">
        <v>11</v>
      </c>
      <c r="D143">
        <v>66</v>
      </c>
      <c r="E143" s="2" t="s">
        <v>12</v>
      </c>
      <c r="F143" s="2" t="s">
        <v>42</v>
      </c>
      <c r="G143">
        <v>83852</v>
      </c>
      <c r="H143" s="2" t="s">
        <v>14</v>
      </c>
      <c r="I143" s="3">
        <v>45560</v>
      </c>
      <c r="J143" t="s">
        <v>1038</v>
      </c>
      <c r="K143">
        <v>1</v>
      </c>
      <c r="L143" t="s">
        <v>1039</v>
      </c>
      <c r="M143" t="s">
        <v>1037</v>
      </c>
      <c r="N143">
        <v>2024</v>
      </c>
      <c r="O143" t="s">
        <v>1038</v>
      </c>
      <c r="P143">
        <v>4</v>
      </c>
    </row>
    <row r="144" spans="1:16" x14ac:dyDescent="0.3">
      <c r="A144" s="2" t="s">
        <v>309</v>
      </c>
      <c r="B144" s="2" t="s">
        <v>310</v>
      </c>
      <c r="C144" s="2" t="s">
        <v>17</v>
      </c>
      <c r="D144">
        <v>47</v>
      </c>
      <c r="E144" s="2" t="s">
        <v>34</v>
      </c>
      <c r="F144" s="2" t="s">
        <v>42</v>
      </c>
      <c r="G144">
        <v>152079</v>
      </c>
      <c r="H144" s="2" t="s">
        <v>14</v>
      </c>
      <c r="I144" s="3">
        <v>44528</v>
      </c>
      <c r="J144" t="s">
        <v>1032</v>
      </c>
      <c r="K144">
        <v>4</v>
      </c>
      <c r="L144" t="s">
        <v>1033</v>
      </c>
      <c r="M144" t="s">
        <v>1031</v>
      </c>
      <c r="N144">
        <v>2021</v>
      </c>
      <c r="O144" t="s">
        <v>1032</v>
      </c>
      <c r="P144">
        <v>3</v>
      </c>
    </row>
    <row r="145" spans="1:16" x14ac:dyDescent="0.3">
      <c r="A145" s="2" t="s">
        <v>311</v>
      </c>
      <c r="B145" s="2" t="s">
        <v>312</v>
      </c>
      <c r="C145" s="2" t="s">
        <v>17</v>
      </c>
      <c r="D145">
        <v>63</v>
      </c>
      <c r="E145" s="2" t="s">
        <v>12</v>
      </c>
      <c r="F145" s="2" t="s">
        <v>13</v>
      </c>
      <c r="G145">
        <v>96242</v>
      </c>
      <c r="H145" s="2" t="s">
        <v>14</v>
      </c>
      <c r="I145" s="3">
        <v>43084</v>
      </c>
      <c r="J145" t="s">
        <v>1038</v>
      </c>
      <c r="K145">
        <v>8</v>
      </c>
      <c r="L145" t="s">
        <v>1036</v>
      </c>
      <c r="M145" t="s">
        <v>1037</v>
      </c>
      <c r="N145">
        <v>2017</v>
      </c>
      <c r="O145" t="s">
        <v>1038</v>
      </c>
      <c r="P145">
        <v>4</v>
      </c>
    </row>
    <row r="146" spans="1:16" x14ac:dyDescent="0.3">
      <c r="A146" s="2" t="s">
        <v>313</v>
      </c>
      <c r="B146" s="2" t="s">
        <v>314</v>
      </c>
      <c r="C146" s="2" t="s">
        <v>17</v>
      </c>
      <c r="D146">
        <v>69</v>
      </c>
      <c r="E146" s="2" t="s">
        <v>18</v>
      </c>
      <c r="F146" s="2" t="s">
        <v>23</v>
      </c>
      <c r="G146">
        <v>198589</v>
      </c>
      <c r="H146" s="2" t="s">
        <v>14</v>
      </c>
      <c r="I146" s="3">
        <v>43588</v>
      </c>
      <c r="J146" t="s">
        <v>1038</v>
      </c>
      <c r="K146">
        <v>7</v>
      </c>
      <c r="L146" t="s">
        <v>1033</v>
      </c>
      <c r="M146" t="s">
        <v>1031</v>
      </c>
      <c r="N146">
        <v>2019</v>
      </c>
      <c r="O146" t="s">
        <v>1038</v>
      </c>
      <c r="P146">
        <v>4</v>
      </c>
    </row>
    <row r="147" spans="1:16" x14ac:dyDescent="0.3">
      <c r="A147" s="2" t="s">
        <v>315</v>
      </c>
      <c r="B147" s="2" t="s">
        <v>316</v>
      </c>
      <c r="C147" s="2" t="s">
        <v>11</v>
      </c>
      <c r="D147">
        <v>22</v>
      </c>
      <c r="E147" s="2" t="s">
        <v>12</v>
      </c>
      <c r="F147" s="2" t="s">
        <v>23</v>
      </c>
      <c r="G147">
        <v>49257</v>
      </c>
      <c r="H147" s="2" t="s">
        <v>14</v>
      </c>
      <c r="I147" s="3">
        <v>44029</v>
      </c>
      <c r="J147" t="s">
        <v>1035</v>
      </c>
      <c r="K147">
        <v>5</v>
      </c>
      <c r="L147" t="s">
        <v>1033</v>
      </c>
      <c r="M147" t="s">
        <v>1037</v>
      </c>
      <c r="N147">
        <v>2020</v>
      </c>
      <c r="O147" t="s">
        <v>1035</v>
      </c>
      <c r="P147">
        <v>1</v>
      </c>
    </row>
    <row r="148" spans="1:16" x14ac:dyDescent="0.3">
      <c r="A148" s="2" t="s">
        <v>317</v>
      </c>
      <c r="B148" s="2" t="s">
        <v>318</v>
      </c>
      <c r="C148" s="2" t="s">
        <v>11</v>
      </c>
      <c r="D148">
        <v>29</v>
      </c>
      <c r="E148" s="2" t="s">
        <v>34</v>
      </c>
      <c r="F148" s="2" t="s">
        <v>13</v>
      </c>
      <c r="G148">
        <v>193279</v>
      </c>
      <c r="H148" s="2" t="s">
        <v>24</v>
      </c>
      <c r="I148" s="3">
        <v>43888</v>
      </c>
      <c r="J148" t="s">
        <v>1029</v>
      </c>
      <c r="K148">
        <v>6</v>
      </c>
      <c r="L148" t="s">
        <v>1033</v>
      </c>
      <c r="M148" t="s">
        <v>1031</v>
      </c>
      <c r="N148">
        <v>2020</v>
      </c>
      <c r="O148" t="s">
        <v>1029</v>
      </c>
      <c r="P148">
        <v>2</v>
      </c>
    </row>
    <row r="149" spans="1:16" x14ac:dyDescent="0.3">
      <c r="A149" s="2" t="s">
        <v>319</v>
      </c>
      <c r="B149" s="2" t="s">
        <v>320</v>
      </c>
      <c r="C149" s="2" t="s">
        <v>11</v>
      </c>
      <c r="D149">
        <v>33</v>
      </c>
      <c r="E149" s="2" t="s">
        <v>18</v>
      </c>
      <c r="F149" s="2" t="s">
        <v>31</v>
      </c>
      <c r="G149">
        <v>164353</v>
      </c>
      <c r="H149" s="2" t="s">
        <v>14</v>
      </c>
      <c r="I149" s="3">
        <v>43337</v>
      </c>
      <c r="J149" t="s">
        <v>1029</v>
      </c>
      <c r="K149">
        <v>7</v>
      </c>
      <c r="L149" t="s">
        <v>1033</v>
      </c>
      <c r="M149" t="s">
        <v>1031</v>
      </c>
      <c r="N149">
        <v>2018</v>
      </c>
      <c r="O149" t="s">
        <v>1029</v>
      </c>
      <c r="P149">
        <v>2</v>
      </c>
    </row>
    <row r="150" spans="1:16" x14ac:dyDescent="0.3">
      <c r="A150" s="2" t="s">
        <v>321</v>
      </c>
      <c r="B150" s="2" t="s">
        <v>322</v>
      </c>
      <c r="C150" s="2" t="s">
        <v>11</v>
      </c>
      <c r="D150">
        <v>43</v>
      </c>
      <c r="E150" s="2" t="s">
        <v>30</v>
      </c>
      <c r="F150" s="2" t="s">
        <v>23</v>
      </c>
      <c r="G150">
        <v>81246</v>
      </c>
      <c r="H150" s="2" t="s">
        <v>20</v>
      </c>
      <c r="I150" s="3">
        <v>44893</v>
      </c>
      <c r="J150" t="s">
        <v>1029</v>
      </c>
      <c r="K150">
        <v>3</v>
      </c>
      <c r="L150" t="s">
        <v>1030</v>
      </c>
      <c r="M150" t="s">
        <v>1037</v>
      </c>
      <c r="N150">
        <v>2022</v>
      </c>
      <c r="O150" t="s">
        <v>1029</v>
      </c>
      <c r="P150">
        <v>2</v>
      </c>
    </row>
    <row r="151" spans="1:16" x14ac:dyDescent="0.3">
      <c r="A151" s="2" t="s">
        <v>323</v>
      </c>
      <c r="B151" s="2" t="s">
        <v>324</v>
      </c>
      <c r="C151" s="2" t="s">
        <v>17</v>
      </c>
      <c r="D151">
        <v>43</v>
      </c>
      <c r="E151" s="2" t="s">
        <v>34</v>
      </c>
      <c r="F151" s="2" t="s">
        <v>19</v>
      </c>
      <c r="G151">
        <v>21435</v>
      </c>
      <c r="H151" s="2" t="s">
        <v>14</v>
      </c>
      <c r="I151" s="3">
        <v>44015</v>
      </c>
      <c r="J151" t="s">
        <v>1029</v>
      </c>
      <c r="K151">
        <v>6</v>
      </c>
      <c r="L151" t="s">
        <v>1033</v>
      </c>
      <c r="M151" t="s">
        <v>1037</v>
      </c>
      <c r="N151">
        <v>2020</v>
      </c>
      <c r="O151" t="s">
        <v>1029</v>
      </c>
      <c r="P151">
        <v>2</v>
      </c>
    </row>
    <row r="152" spans="1:16" x14ac:dyDescent="0.3">
      <c r="A152" s="2" t="s">
        <v>325</v>
      </c>
      <c r="B152" s="2" t="s">
        <v>326</v>
      </c>
      <c r="C152" s="2" t="s">
        <v>11</v>
      </c>
      <c r="D152">
        <v>65</v>
      </c>
      <c r="E152" s="2" t="s">
        <v>18</v>
      </c>
      <c r="F152" s="2" t="s">
        <v>37</v>
      </c>
      <c r="G152">
        <v>111357</v>
      </c>
      <c r="H152" s="2" t="s">
        <v>14</v>
      </c>
      <c r="I152" s="3">
        <v>43949</v>
      </c>
      <c r="J152" t="s">
        <v>1038</v>
      </c>
      <c r="K152">
        <v>6</v>
      </c>
      <c r="L152" t="s">
        <v>1033</v>
      </c>
      <c r="M152" t="s">
        <v>1034</v>
      </c>
      <c r="N152">
        <v>2020</v>
      </c>
      <c r="O152" t="s">
        <v>1038</v>
      </c>
      <c r="P152">
        <v>4</v>
      </c>
    </row>
    <row r="153" spans="1:16" x14ac:dyDescent="0.3">
      <c r="A153" s="2" t="s">
        <v>327</v>
      </c>
      <c r="B153" s="2" t="s">
        <v>328</v>
      </c>
      <c r="C153" s="2" t="s">
        <v>11</v>
      </c>
      <c r="D153">
        <v>38</v>
      </c>
      <c r="E153" s="2" t="s">
        <v>18</v>
      </c>
      <c r="F153" s="2" t="s">
        <v>42</v>
      </c>
      <c r="G153">
        <v>177732</v>
      </c>
      <c r="H153" s="2" t="s">
        <v>20</v>
      </c>
      <c r="I153" s="3">
        <v>43409</v>
      </c>
      <c r="J153" t="s">
        <v>1029</v>
      </c>
      <c r="K153">
        <v>7</v>
      </c>
      <c r="L153" t="s">
        <v>1033</v>
      </c>
      <c r="M153" t="s">
        <v>1031</v>
      </c>
      <c r="N153">
        <v>2018</v>
      </c>
      <c r="O153" t="s">
        <v>1029</v>
      </c>
      <c r="P153">
        <v>2</v>
      </c>
    </row>
    <row r="154" spans="1:16" x14ac:dyDescent="0.3">
      <c r="A154" s="2" t="s">
        <v>329</v>
      </c>
      <c r="B154" s="2" t="s">
        <v>330</v>
      </c>
      <c r="C154" s="2" t="s">
        <v>11</v>
      </c>
      <c r="D154">
        <v>56</v>
      </c>
      <c r="E154" s="2" t="s">
        <v>30</v>
      </c>
      <c r="F154" s="2" t="s">
        <v>42</v>
      </c>
      <c r="G154">
        <v>156156</v>
      </c>
      <c r="H154" s="2" t="s">
        <v>20</v>
      </c>
      <c r="I154" s="3">
        <v>42365</v>
      </c>
      <c r="J154" t="s">
        <v>1032</v>
      </c>
      <c r="K154">
        <v>10</v>
      </c>
      <c r="L154" t="s">
        <v>1036</v>
      </c>
      <c r="M154" t="s">
        <v>1031</v>
      </c>
      <c r="N154">
        <v>2015</v>
      </c>
      <c r="O154" t="s">
        <v>1032</v>
      </c>
      <c r="P154">
        <v>3</v>
      </c>
    </row>
    <row r="155" spans="1:16" x14ac:dyDescent="0.3">
      <c r="A155" s="2" t="s">
        <v>331</v>
      </c>
      <c r="B155" s="2" t="s">
        <v>332</v>
      </c>
      <c r="C155" s="2" t="s">
        <v>11</v>
      </c>
      <c r="D155">
        <v>53</v>
      </c>
      <c r="E155" s="2" t="s">
        <v>12</v>
      </c>
      <c r="F155" s="2" t="s">
        <v>19</v>
      </c>
      <c r="G155">
        <v>164579</v>
      </c>
      <c r="H155" s="2" t="s">
        <v>24</v>
      </c>
      <c r="I155" s="3">
        <v>42280</v>
      </c>
      <c r="J155" t="s">
        <v>1032</v>
      </c>
      <c r="K155">
        <v>10</v>
      </c>
      <c r="L155" t="s">
        <v>1036</v>
      </c>
      <c r="M155" t="s">
        <v>1031</v>
      </c>
      <c r="N155">
        <v>2015</v>
      </c>
      <c r="O155" t="s">
        <v>1032</v>
      </c>
      <c r="P155">
        <v>3</v>
      </c>
    </row>
    <row r="156" spans="1:16" x14ac:dyDescent="0.3">
      <c r="A156" s="2" t="s">
        <v>333</v>
      </c>
      <c r="B156" s="2" t="s">
        <v>334</v>
      </c>
      <c r="C156" s="2" t="s">
        <v>11</v>
      </c>
      <c r="D156">
        <v>50</v>
      </c>
      <c r="E156" s="2" t="s">
        <v>12</v>
      </c>
      <c r="F156" s="2" t="s">
        <v>23</v>
      </c>
      <c r="G156">
        <v>103807</v>
      </c>
      <c r="H156" s="2" t="s">
        <v>14</v>
      </c>
      <c r="I156" s="3">
        <v>45264</v>
      </c>
      <c r="J156" t="s">
        <v>1032</v>
      </c>
      <c r="K156">
        <v>2</v>
      </c>
      <c r="L156" t="s">
        <v>1030</v>
      </c>
      <c r="M156" t="s">
        <v>1034</v>
      </c>
      <c r="N156">
        <v>2023</v>
      </c>
      <c r="O156" t="s">
        <v>1032</v>
      </c>
      <c r="P156">
        <v>3</v>
      </c>
    </row>
    <row r="157" spans="1:16" x14ac:dyDescent="0.3">
      <c r="A157" s="2" t="s">
        <v>335</v>
      </c>
      <c r="B157" s="2" t="s">
        <v>336</v>
      </c>
      <c r="C157" s="2" t="s">
        <v>17</v>
      </c>
      <c r="D157">
        <v>47</v>
      </c>
      <c r="E157" s="2" t="s">
        <v>34</v>
      </c>
      <c r="F157" s="2" t="s">
        <v>42</v>
      </c>
      <c r="G157">
        <v>196611</v>
      </c>
      <c r="H157" s="2" t="s">
        <v>14</v>
      </c>
      <c r="I157" s="3">
        <v>44850</v>
      </c>
      <c r="J157" t="s">
        <v>1032</v>
      </c>
      <c r="K157">
        <v>3</v>
      </c>
      <c r="L157" t="s">
        <v>1030</v>
      </c>
      <c r="M157" t="s">
        <v>1031</v>
      </c>
      <c r="N157">
        <v>2022</v>
      </c>
      <c r="O157" t="s">
        <v>1032</v>
      </c>
      <c r="P157">
        <v>3</v>
      </c>
    </row>
    <row r="158" spans="1:16" x14ac:dyDescent="0.3">
      <c r="A158" s="2" t="s">
        <v>337</v>
      </c>
      <c r="B158" s="2" t="s">
        <v>338</v>
      </c>
      <c r="C158" s="2" t="s">
        <v>11</v>
      </c>
      <c r="D158">
        <v>54</v>
      </c>
      <c r="E158" s="2" t="s">
        <v>30</v>
      </c>
      <c r="F158" s="2" t="s">
        <v>27</v>
      </c>
      <c r="G158">
        <v>135953</v>
      </c>
      <c r="H158" s="2" t="s">
        <v>20</v>
      </c>
      <c r="I158" s="3">
        <v>43172</v>
      </c>
      <c r="J158" t="s">
        <v>1032</v>
      </c>
      <c r="K158">
        <v>8</v>
      </c>
      <c r="L158" t="s">
        <v>1036</v>
      </c>
      <c r="M158" t="s">
        <v>1034</v>
      </c>
      <c r="N158">
        <v>2018</v>
      </c>
      <c r="O158" t="s">
        <v>1032</v>
      </c>
      <c r="P158">
        <v>3</v>
      </c>
    </row>
    <row r="159" spans="1:16" x14ac:dyDescent="0.3">
      <c r="A159" s="2" t="s">
        <v>339</v>
      </c>
      <c r="B159" s="2" t="s">
        <v>340</v>
      </c>
      <c r="C159" s="2" t="s">
        <v>17</v>
      </c>
      <c r="D159">
        <v>40</v>
      </c>
      <c r="E159" s="2" t="s">
        <v>12</v>
      </c>
      <c r="F159" s="2" t="s">
        <v>37</v>
      </c>
      <c r="G159">
        <v>158563</v>
      </c>
      <c r="H159" s="2" t="s">
        <v>14</v>
      </c>
      <c r="I159" s="3">
        <v>45774</v>
      </c>
      <c r="J159" t="s">
        <v>1029</v>
      </c>
      <c r="K159">
        <v>1</v>
      </c>
      <c r="L159" t="s">
        <v>1039</v>
      </c>
      <c r="M159" t="s">
        <v>1031</v>
      </c>
      <c r="N159">
        <v>2025</v>
      </c>
      <c r="O159" t="s">
        <v>1029</v>
      </c>
      <c r="P159">
        <v>2</v>
      </c>
    </row>
    <row r="160" spans="1:16" x14ac:dyDescent="0.3">
      <c r="A160" s="2" t="s">
        <v>341</v>
      </c>
      <c r="B160" s="2" t="s">
        <v>342</v>
      </c>
      <c r="C160" s="2" t="s">
        <v>11</v>
      </c>
      <c r="D160">
        <v>27</v>
      </c>
      <c r="E160" s="2" t="s">
        <v>30</v>
      </c>
      <c r="F160" s="2" t="s">
        <v>37</v>
      </c>
      <c r="G160">
        <v>143797</v>
      </c>
      <c r="H160" s="2" t="s">
        <v>14</v>
      </c>
      <c r="I160" s="3">
        <v>43200</v>
      </c>
      <c r="J160" t="s">
        <v>1035</v>
      </c>
      <c r="K160">
        <v>8</v>
      </c>
      <c r="L160" t="s">
        <v>1036</v>
      </c>
      <c r="M160" t="s">
        <v>1034</v>
      </c>
      <c r="N160">
        <v>2018</v>
      </c>
      <c r="O160" t="s">
        <v>1035</v>
      </c>
      <c r="P160">
        <v>1</v>
      </c>
    </row>
    <row r="161" spans="1:16" x14ac:dyDescent="0.3">
      <c r="A161" s="2" t="s">
        <v>343</v>
      </c>
      <c r="B161" s="2" t="s">
        <v>344</v>
      </c>
      <c r="C161" s="2" t="s">
        <v>17</v>
      </c>
      <c r="D161">
        <v>71</v>
      </c>
      <c r="E161" s="2" t="s">
        <v>12</v>
      </c>
      <c r="F161" s="2" t="s">
        <v>42</v>
      </c>
      <c r="G161">
        <v>83888</v>
      </c>
      <c r="H161" s="2" t="s">
        <v>14</v>
      </c>
      <c r="I161" s="3">
        <v>42314</v>
      </c>
      <c r="J161" t="s">
        <v>1038</v>
      </c>
      <c r="K161">
        <v>10</v>
      </c>
      <c r="L161" t="s">
        <v>1036</v>
      </c>
      <c r="M161" t="s">
        <v>1037</v>
      </c>
      <c r="N161">
        <v>2015</v>
      </c>
      <c r="O161" t="s">
        <v>1038</v>
      </c>
      <c r="P161">
        <v>4</v>
      </c>
    </row>
    <row r="162" spans="1:16" x14ac:dyDescent="0.3">
      <c r="A162" s="2" t="s">
        <v>345</v>
      </c>
      <c r="B162" s="2" t="s">
        <v>346</v>
      </c>
      <c r="C162" s="2" t="s">
        <v>11</v>
      </c>
      <c r="D162">
        <v>22</v>
      </c>
      <c r="E162" s="2" t="s">
        <v>18</v>
      </c>
      <c r="F162" s="2" t="s">
        <v>13</v>
      </c>
      <c r="G162">
        <v>93609</v>
      </c>
      <c r="H162" s="2" t="s">
        <v>14</v>
      </c>
      <c r="I162" s="3">
        <v>44252</v>
      </c>
      <c r="J162" t="s">
        <v>1035</v>
      </c>
      <c r="K162">
        <v>5</v>
      </c>
      <c r="L162" t="s">
        <v>1033</v>
      </c>
      <c r="M162" t="s">
        <v>1037</v>
      </c>
      <c r="N162">
        <v>2021</v>
      </c>
      <c r="O162" t="s">
        <v>1035</v>
      </c>
      <c r="P162">
        <v>1</v>
      </c>
    </row>
    <row r="163" spans="1:16" x14ac:dyDescent="0.3">
      <c r="A163" s="2" t="s">
        <v>347</v>
      </c>
      <c r="B163" s="2" t="s">
        <v>348</v>
      </c>
      <c r="C163" s="2" t="s">
        <v>11</v>
      </c>
      <c r="D163">
        <v>53</v>
      </c>
      <c r="E163" s="2" t="s">
        <v>12</v>
      </c>
      <c r="F163" s="2" t="s">
        <v>42</v>
      </c>
      <c r="G163">
        <v>29077</v>
      </c>
      <c r="H163" s="2" t="s">
        <v>20</v>
      </c>
      <c r="I163" s="3">
        <v>42248</v>
      </c>
      <c r="J163" t="s">
        <v>1032</v>
      </c>
      <c r="K163">
        <v>10</v>
      </c>
      <c r="L163" t="s">
        <v>1036</v>
      </c>
      <c r="M163" t="s">
        <v>1037</v>
      </c>
      <c r="N163">
        <v>2015</v>
      </c>
      <c r="O163" t="s">
        <v>1032</v>
      </c>
      <c r="P163">
        <v>3</v>
      </c>
    </row>
    <row r="164" spans="1:16" x14ac:dyDescent="0.3">
      <c r="A164" s="2" t="s">
        <v>349</v>
      </c>
      <c r="B164" s="2" t="s">
        <v>350</v>
      </c>
      <c r="C164" s="2" t="s">
        <v>17</v>
      </c>
      <c r="D164">
        <v>51</v>
      </c>
      <c r="E164" s="2" t="s">
        <v>30</v>
      </c>
      <c r="F164" s="2" t="s">
        <v>13</v>
      </c>
      <c r="G164">
        <v>40953</v>
      </c>
      <c r="H164" s="2" t="s">
        <v>14</v>
      </c>
      <c r="I164" s="3">
        <v>44789</v>
      </c>
      <c r="J164" t="s">
        <v>1032</v>
      </c>
      <c r="K164">
        <v>3</v>
      </c>
      <c r="L164" t="s">
        <v>1030</v>
      </c>
      <c r="M164" t="s">
        <v>1037</v>
      </c>
      <c r="N164">
        <v>2022</v>
      </c>
      <c r="O164" t="s">
        <v>1032</v>
      </c>
      <c r="P164">
        <v>3</v>
      </c>
    </row>
    <row r="165" spans="1:16" x14ac:dyDescent="0.3">
      <c r="A165" s="2" t="s">
        <v>351</v>
      </c>
      <c r="B165" s="2" t="s">
        <v>352</v>
      </c>
      <c r="C165" s="2" t="s">
        <v>17</v>
      </c>
      <c r="D165">
        <v>69</v>
      </c>
      <c r="E165" s="2" t="s">
        <v>18</v>
      </c>
      <c r="F165" s="2" t="s">
        <v>42</v>
      </c>
      <c r="G165">
        <v>134682</v>
      </c>
      <c r="H165" s="2" t="s">
        <v>14</v>
      </c>
      <c r="I165" s="3">
        <v>44257</v>
      </c>
      <c r="J165" t="s">
        <v>1038</v>
      </c>
      <c r="K165">
        <v>5</v>
      </c>
      <c r="L165" t="s">
        <v>1033</v>
      </c>
      <c r="M165" t="s">
        <v>1034</v>
      </c>
      <c r="N165">
        <v>2021</v>
      </c>
      <c r="O165" t="s">
        <v>1038</v>
      </c>
      <c r="P165">
        <v>4</v>
      </c>
    </row>
    <row r="166" spans="1:16" x14ac:dyDescent="0.3">
      <c r="A166" s="2" t="s">
        <v>353</v>
      </c>
      <c r="B166" s="2" t="s">
        <v>354</v>
      </c>
      <c r="C166" s="2" t="s">
        <v>17</v>
      </c>
      <c r="D166">
        <v>48</v>
      </c>
      <c r="E166" s="2" t="s">
        <v>18</v>
      </c>
      <c r="F166" s="2" t="s">
        <v>27</v>
      </c>
      <c r="G166">
        <v>87889</v>
      </c>
      <c r="H166" s="2" t="s">
        <v>14</v>
      </c>
      <c r="I166" s="3">
        <v>45172</v>
      </c>
      <c r="J166" t="s">
        <v>1032</v>
      </c>
      <c r="K166">
        <v>2</v>
      </c>
      <c r="L166" t="s">
        <v>1030</v>
      </c>
      <c r="M166" t="s">
        <v>1037</v>
      </c>
      <c r="N166">
        <v>2023</v>
      </c>
      <c r="O166" t="s">
        <v>1032</v>
      </c>
      <c r="P166">
        <v>3</v>
      </c>
    </row>
    <row r="167" spans="1:16" x14ac:dyDescent="0.3">
      <c r="A167" s="2" t="s">
        <v>355</v>
      </c>
      <c r="B167" s="2" t="s">
        <v>356</v>
      </c>
      <c r="C167" s="2" t="s">
        <v>11</v>
      </c>
      <c r="D167">
        <v>27</v>
      </c>
      <c r="E167" s="2" t="s">
        <v>18</v>
      </c>
      <c r="F167" s="2" t="s">
        <v>31</v>
      </c>
      <c r="G167">
        <v>174893</v>
      </c>
      <c r="H167" s="2" t="s">
        <v>14</v>
      </c>
      <c r="I167" s="3">
        <v>42431</v>
      </c>
      <c r="J167" t="s">
        <v>1035</v>
      </c>
      <c r="K167">
        <v>10</v>
      </c>
      <c r="L167" t="s">
        <v>1036</v>
      </c>
      <c r="M167" t="s">
        <v>1031</v>
      </c>
      <c r="N167">
        <v>2016</v>
      </c>
      <c r="O167" t="s">
        <v>1035</v>
      </c>
      <c r="P167">
        <v>1</v>
      </c>
    </row>
    <row r="168" spans="1:16" x14ac:dyDescent="0.3">
      <c r="A168" s="2" t="s">
        <v>357</v>
      </c>
      <c r="B168" s="2" t="s">
        <v>358</v>
      </c>
      <c r="C168" s="2" t="s">
        <v>17</v>
      </c>
      <c r="D168">
        <v>36</v>
      </c>
      <c r="E168" s="2" t="s">
        <v>30</v>
      </c>
      <c r="F168" s="2" t="s">
        <v>37</v>
      </c>
      <c r="G168">
        <v>188639</v>
      </c>
      <c r="H168" s="2" t="s">
        <v>14</v>
      </c>
      <c r="I168" s="3">
        <v>45492</v>
      </c>
      <c r="J168" t="s">
        <v>1029</v>
      </c>
      <c r="K168">
        <v>1</v>
      </c>
      <c r="L168" t="s">
        <v>1039</v>
      </c>
      <c r="M168" t="s">
        <v>1031</v>
      </c>
      <c r="N168">
        <v>2024</v>
      </c>
      <c r="O168" t="s">
        <v>1029</v>
      </c>
      <c r="P168">
        <v>2</v>
      </c>
    </row>
    <row r="169" spans="1:16" x14ac:dyDescent="0.3">
      <c r="A169" s="2" t="s">
        <v>359</v>
      </c>
      <c r="B169" s="2" t="s">
        <v>360</v>
      </c>
      <c r="C169" s="2" t="s">
        <v>11</v>
      </c>
      <c r="D169">
        <v>49</v>
      </c>
      <c r="E169" s="2" t="s">
        <v>34</v>
      </c>
      <c r="F169" s="2" t="s">
        <v>42</v>
      </c>
      <c r="G169">
        <v>135374</v>
      </c>
      <c r="H169" s="2" t="s">
        <v>14</v>
      </c>
      <c r="I169" s="3">
        <v>43786</v>
      </c>
      <c r="J169" t="s">
        <v>1032</v>
      </c>
      <c r="K169">
        <v>6</v>
      </c>
      <c r="L169" t="s">
        <v>1033</v>
      </c>
      <c r="M169" t="s">
        <v>1034</v>
      </c>
      <c r="N169">
        <v>2019</v>
      </c>
      <c r="O169" t="s">
        <v>1032</v>
      </c>
      <c r="P169">
        <v>3</v>
      </c>
    </row>
    <row r="170" spans="1:16" x14ac:dyDescent="0.3">
      <c r="A170" s="2" t="s">
        <v>361</v>
      </c>
      <c r="B170" s="2" t="s">
        <v>362</v>
      </c>
      <c r="C170" s="2" t="s">
        <v>11</v>
      </c>
      <c r="D170">
        <v>18</v>
      </c>
      <c r="E170" s="2" t="s">
        <v>34</v>
      </c>
      <c r="F170" s="2" t="s">
        <v>27</v>
      </c>
      <c r="G170">
        <v>44860</v>
      </c>
      <c r="H170" s="2" t="s">
        <v>14</v>
      </c>
      <c r="I170" s="3">
        <v>45714</v>
      </c>
      <c r="J170" t="s">
        <v>1035</v>
      </c>
      <c r="K170">
        <v>1</v>
      </c>
      <c r="L170" t="s">
        <v>1039</v>
      </c>
      <c r="M170" t="s">
        <v>1037</v>
      </c>
      <c r="N170">
        <v>2025</v>
      </c>
      <c r="O170" t="s">
        <v>1035</v>
      </c>
      <c r="P170">
        <v>1</v>
      </c>
    </row>
    <row r="171" spans="1:16" x14ac:dyDescent="0.3">
      <c r="A171" s="2" t="s">
        <v>363</v>
      </c>
      <c r="B171" s="2" t="s">
        <v>364</v>
      </c>
      <c r="C171" s="2" t="s">
        <v>17</v>
      </c>
      <c r="D171">
        <v>73</v>
      </c>
      <c r="E171" s="2" t="s">
        <v>34</v>
      </c>
      <c r="F171" s="2" t="s">
        <v>13</v>
      </c>
      <c r="G171">
        <v>172267</v>
      </c>
      <c r="H171" s="2" t="s">
        <v>20</v>
      </c>
      <c r="I171" s="3">
        <v>44887</v>
      </c>
      <c r="J171" t="s">
        <v>1038</v>
      </c>
      <c r="K171">
        <v>3</v>
      </c>
      <c r="L171" t="s">
        <v>1030</v>
      </c>
      <c r="M171" t="s">
        <v>1031</v>
      </c>
      <c r="N171">
        <v>2022</v>
      </c>
      <c r="O171" t="s">
        <v>1038</v>
      </c>
      <c r="P171">
        <v>4</v>
      </c>
    </row>
    <row r="172" spans="1:16" x14ac:dyDescent="0.3">
      <c r="A172" s="2" t="s">
        <v>365</v>
      </c>
      <c r="B172" s="2" t="s">
        <v>366</v>
      </c>
      <c r="C172" s="2" t="s">
        <v>17</v>
      </c>
      <c r="D172">
        <v>22</v>
      </c>
      <c r="E172" s="2" t="s">
        <v>30</v>
      </c>
      <c r="F172" s="2" t="s">
        <v>13</v>
      </c>
      <c r="G172">
        <v>97475</v>
      </c>
      <c r="H172" s="2" t="s">
        <v>14</v>
      </c>
      <c r="I172" s="3">
        <v>42532</v>
      </c>
      <c r="J172" t="s">
        <v>1035</v>
      </c>
      <c r="K172">
        <v>10</v>
      </c>
      <c r="L172" t="s">
        <v>1036</v>
      </c>
      <c r="M172" t="s">
        <v>1037</v>
      </c>
      <c r="N172">
        <v>2016</v>
      </c>
      <c r="O172" t="s">
        <v>1035</v>
      </c>
      <c r="P172">
        <v>1</v>
      </c>
    </row>
    <row r="173" spans="1:16" x14ac:dyDescent="0.3">
      <c r="A173" s="2" t="s">
        <v>367</v>
      </c>
      <c r="B173" s="2" t="s">
        <v>368</v>
      </c>
      <c r="C173" s="2" t="s">
        <v>11</v>
      </c>
      <c r="D173">
        <v>62</v>
      </c>
      <c r="E173" s="2" t="s">
        <v>18</v>
      </c>
      <c r="F173" s="2" t="s">
        <v>37</v>
      </c>
      <c r="G173">
        <v>107266</v>
      </c>
      <c r="H173" s="2" t="s">
        <v>14</v>
      </c>
      <c r="I173" s="3">
        <v>43988</v>
      </c>
      <c r="J173" t="s">
        <v>1038</v>
      </c>
      <c r="K173">
        <v>6</v>
      </c>
      <c r="L173" t="s">
        <v>1033</v>
      </c>
      <c r="M173" t="s">
        <v>1034</v>
      </c>
      <c r="N173">
        <v>2020</v>
      </c>
      <c r="O173" t="s">
        <v>1038</v>
      </c>
      <c r="P173">
        <v>4</v>
      </c>
    </row>
    <row r="174" spans="1:16" x14ac:dyDescent="0.3">
      <c r="A174" s="2" t="s">
        <v>369</v>
      </c>
      <c r="B174" s="2" t="s">
        <v>370</v>
      </c>
      <c r="C174" s="2" t="s">
        <v>11</v>
      </c>
      <c r="D174">
        <v>21</v>
      </c>
      <c r="E174" s="2" t="s">
        <v>34</v>
      </c>
      <c r="F174" s="2" t="s">
        <v>19</v>
      </c>
      <c r="G174">
        <v>172499</v>
      </c>
      <c r="H174" s="2" t="s">
        <v>20</v>
      </c>
      <c r="I174" s="3">
        <v>44501</v>
      </c>
      <c r="J174" t="s">
        <v>1035</v>
      </c>
      <c r="K174">
        <v>4</v>
      </c>
      <c r="L174" t="s">
        <v>1033</v>
      </c>
      <c r="M174" t="s">
        <v>1031</v>
      </c>
      <c r="N174">
        <v>2021</v>
      </c>
      <c r="O174" t="s">
        <v>1035</v>
      </c>
      <c r="P174">
        <v>1</v>
      </c>
    </row>
    <row r="175" spans="1:16" x14ac:dyDescent="0.3">
      <c r="A175" s="2" t="s">
        <v>371</v>
      </c>
      <c r="B175" s="2" t="s">
        <v>372</v>
      </c>
      <c r="C175" s="2" t="s">
        <v>17</v>
      </c>
      <c r="D175">
        <v>33</v>
      </c>
      <c r="E175" s="2" t="s">
        <v>30</v>
      </c>
      <c r="F175" s="2" t="s">
        <v>42</v>
      </c>
      <c r="G175">
        <v>120732</v>
      </c>
      <c r="H175" s="2" t="s">
        <v>20</v>
      </c>
      <c r="I175" s="3">
        <v>43767</v>
      </c>
      <c r="J175" t="s">
        <v>1029</v>
      </c>
      <c r="K175">
        <v>6</v>
      </c>
      <c r="L175" t="s">
        <v>1033</v>
      </c>
      <c r="M175" t="s">
        <v>1034</v>
      </c>
      <c r="N175">
        <v>2019</v>
      </c>
      <c r="O175" t="s">
        <v>1029</v>
      </c>
      <c r="P175">
        <v>2</v>
      </c>
    </row>
    <row r="176" spans="1:16" x14ac:dyDescent="0.3">
      <c r="A176" s="2" t="s">
        <v>373</v>
      </c>
      <c r="B176" s="2" t="s">
        <v>374</v>
      </c>
      <c r="C176" s="2" t="s">
        <v>17</v>
      </c>
      <c r="D176">
        <v>41</v>
      </c>
      <c r="E176" s="2" t="s">
        <v>34</v>
      </c>
      <c r="F176" s="2" t="s">
        <v>23</v>
      </c>
      <c r="G176">
        <v>47083</v>
      </c>
      <c r="H176" s="2" t="s">
        <v>14</v>
      </c>
      <c r="I176" s="3">
        <v>43046</v>
      </c>
      <c r="J176" t="s">
        <v>1029</v>
      </c>
      <c r="K176">
        <v>8</v>
      </c>
      <c r="L176" t="s">
        <v>1036</v>
      </c>
      <c r="M176" t="s">
        <v>1037</v>
      </c>
      <c r="N176">
        <v>2017</v>
      </c>
      <c r="O176" t="s">
        <v>1029</v>
      </c>
      <c r="P176">
        <v>2</v>
      </c>
    </row>
    <row r="177" spans="1:16" x14ac:dyDescent="0.3">
      <c r="A177" s="2" t="s">
        <v>375</v>
      </c>
      <c r="B177" s="2" t="s">
        <v>376</v>
      </c>
      <c r="C177" s="2" t="s">
        <v>17</v>
      </c>
      <c r="D177">
        <v>33</v>
      </c>
      <c r="E177" s="2" t="s">
        <v>12</v>
      </c>
      <c r="F177" s="2" t="s">
        <v>13</v>
      </c>
      <c r="G177">
        <v>77372</v>
      </c>
      <c r="H177" s="2" t="s">
        <v>14</v>
      </c>
      <c r="I177" s="3">
        <v>42292</v>
      </c>
      <c r="J177" t="s">
        <v>1029</v>
      </c>
      <c r="K177">
        <v>10</v>
      </c>
      <c r="L177" t="s">
        <v>1036</v>
      </c>
      <c r="M177" t="s">
        <v>1037</v>
      </c>
      <c r="N177">
        <v>2015</v>
      </c>
      <c r="O177" t="s">
        <v>1029</v>
      </c>
      <c r="P177">
        <v>2</v>
      </c>
    </row>
    <row r="178" spans="1:16" x14ac:dyDescent="0.3">
      <c r="A178" s="2" t="s">
        <v>377</v>
      </c>
      <c r="B178" s="2" t="s">
        <v>378</v>
      </c>
      <c r="C178" s="2" t="s">
        <v>11</v>
      </c>
      <c r="D178">
        <v>72</v>
      </c>
      <c r="E178" s="2" t="s">
        <v>34</v>
      </c>
      <c r="F178" s="2" t="s">
        <v>31</v>
      </c>
      <c r="G178">
        <v>143786</v>
      </c>
      <c r="H178" s="2" t="s">
        <v>14</v>
      </c>
      <c r="I178" s="3">
        <v>45538</v>
      </c>
      <c r="J178" t="s">
        <v>1038</v>
      </c>
      <c r="K178">
        <v>1</v>
      </c>
      <c r="L178" t="s">
        <v>1039</v>
      </c>
      <c r="M178" t="s">
        <v>1034</v>
      </c>
      <c r="N178">
        <v>2024</v>
      </c>
      <c r="O178" t="s">
        <v>1038</v>
      </c>
      <c r="P178">
        <v>4</v>
      </c>
    </row>
    <row r="179" spans="1:16" x14ac:dyDescent="0.3">
      <c r="A179" s="2" t="s">
        <v>379</v>
      </c>
      <c r="B179" s="2" t="s">
        <v>380</v>
      </c>
      <c r="C179" s="2" t="s">
        <v>11</v>
      </c>
      <c r="D179">
        <v>19</v>
      </c>
      <c r="E179" s="2" t="s">
        <v>34</v>
      </c>
      <c r="F179" s="2" t="s">
        <v>31</v>
      </c>
      <c r="G179">
        <v>195136</v>
      </c>
      <c r="H179" s="2" t="s">
        <v>20</v>
      </c>
      <c r="I179" s="3">
        <v>45642</v>
      </c>
      <c r="J179" t="s">
        <v>1035</v>
      </c>
      <c r="K179">
        <v>1</v>
      </c>
      <c r="L179" t="s">
        <v>1039</v>
      </c>
      <c r="M179" t="s">
        <v>1031</v>
      </c>
      <c r="N179">
        <v>2024</v>
      </c>
      <c r="O179" t="s">
        <v>1035</v>
      </c>
      <c r="P179">
        <v>1</v>
      </c>
    </row>
    <row r="180" spans="1:16" x14ac:dyDescent="0.3">
      <c r="A180" s="2" t="s">
        <v>381</v>
      </c>
      <c r="B180" s="2" t="s">
        <v>382</v>
      </c>
      <c r="C180" s="2" t="s">
        <v>11</v>
      </c>
      <c r="D180">
        <v>66</v>
      </c>
      <c r="E180" s="2" t="s">
        <v>18</v>
      </c>
      <c r="F180" s="2" t="s">
        <v>13</v>
      </c>
      <c r="G180">
        <v>27813</v>
      </c>
      <c r="H180" s="2" t="s">
        <v>24</v>
      </c>
      <c r="I180" s="3">
        <v>42803</v>
      </c>
      <c r="J180" t="s">
        <v>1038</v>
      </c>
      <c r="K180">
        <v>9</v>
      </c>
      <c r="L180" t="s">
        <v>1036</v>
      </c>
      <c r="M180" t="s">
        <v>1037</v>
      </c>
      <c r="N180">
        <v>2017</v>
      </c>
      <c r="O180" t="s">
        <v>1038</v>
      </c>
      <c r="P180">
        <v>4</v>
      </c>
    </row>
    <row r="181" spans="1:16" x14ac:dyDescent="0.3">
      <c r="A181" s="2" t="s">
        <v>383</v>
      </c>
      <c r="B181" s="2" t="s">
        <v>384</v>
      </c>
      <c r="C181" s="2" t="s">
        <v>11</v>
      </c>
      <c r="D181">
        <v>45</v>
      </c>
      <c r="E181" s="2" t="s">
        <v>30</v>
      </c>
      <c r="F181" s="2" t="s">
        <v>19</v>
      </c>
      <c r="G181">
        <v>51598</v>
      </c>
      <c r="H181" s="2" t="s">
        <v>20</v>
      </c>
      <c r="I181" s="3">
        <v>45704</v>
      </c>
      <c r="J181" t="s">
        <v>1032</v>
      </c>
      <c r="K181">
        <v>1</v>
      </c>
      <c r="L181" t="s">
        <v>1039</v>
      </c>
      <c r="M181" t="s">
        <v>1037</v>
      </c>
      <c r="N181">
        <v>2025</v>
      </c>
      <c r="O181" t="s">
        <v>1032</v>
      </c>
      <c r="P181">
        <v>3</v>
      </c>
    </row>
    <row r="182" spans="1:16" x14ac:dyDescent="0.3">
      <c r="A182" s="2" t="s">
        <v>385</v>
      </c>
      <c r="B182" s="2" t="s">
        <v>386</v>
      </c>
      <c r="C182" s="2" t="s">
        <v>11</v>
      </c>
      <c r="D182">
        <v>49</v>
      </c>
      <c r="E182" s="2" t="s">
        <v>18</v>
      </c>
      <c r="F182" s="2" t="s">
        <v>19</v>
      </c>
      <c r="G182">
        <v>113106</v>
      </c>
      <c r="H182" s="2" t="s">
        <v>14</v>
      </c>
      <c r="I182" s="3">
        <v>42387</v>
      </c>
      <c r="J182" t="s">
        <v>1032</v>
      </c>
      <c r="K182">
        <v>10</v>
      </c>
      <c r="L182" t="s">
        <v>1036</v>
      </c>
      <c r="M182" t="s">
        <v>1034</v>
      </c>
      <c r="N182">
        <v>2016</v>
      </c>
      <c r="O182" t="s">
        <v>1032</v>
      </c>
      <c r="P182">
        <v>3</v>
      </c>
    </row>
    <row r="183" spans="1:16" x14ac:dyDescent="0.3">
      <c r="A183" s="2" t="s">
        <v>387</v>
      </c>
      <c r="B183" s="2" t="s">
        <v>388</v>
      </c>
      <c r="C183" s="2" t="s">
        <v>11</v>
      </c>
      <c r="D183">
        <v>44</v>
      </c>
      <c r="E183" s="2" t="s">
        <v>18</v>
      </c>
      <c r="F183" s="2" t="s">
        <v>27</v>
      </c>
      <c r="G183">
        <v>47082</v>
      </c>
      <c r="H183" s="2" t="s">
        <v>20</v>
      </c>
      <c r="I183" s="3">
        <v>45843</v>
      </c>
      <c r="J183" t="s">
        <v>1029</v>
      </c>
      <c r="K183">
        <v>0</v>
      </c>
      <c r="L183" t="s">
        <v>1039</v>
      </c>
      <c r="M183" t="s">
        <v>1037</v>
      </c>
      <c r="N183">
        <v>2025</v>
      </c>
      <c r="O183" t="s">
        <v>1029</v>
      </c>
      <c r="P183">
        <v>2</v>
      </c>
    </row>
    <row r="184" spans="1:16" x14ac:dyDescent="0.3">
      <c r="A184" s="2" t="s">
        <v>389</v>
      </c>
      <c r="B184" s="2" t="s">
        <v>390</v>
      </c>
      <c r="C184" s="2" t="s">
        <v>17</v>
      </c>
      <c r="D184">
        <v>37</v>
      </c>
      <c r="E184" s="2" t="s">
        <v>18</v>
      </c>
      <c r="F184" s="2" t="s">
        <v>31</v>
      </c>
      <c r="G184">
        <v>49241</v>
      </c>
      <c r="H184" s="2" t="s">
        <v>14</v>
      </c>
      <c r="I184" s="3">
        <v>43202</v>
      </c>
      <c r="J184" t="s">
        <v>1029</v>
      </c>
      <c r="K184">
        <v>8</v>
      </c>
      <c r="L184" t="s">
        <v>1036</v>
      </c>
      <c r="M184" t="s">
        <v>1037</v>
      </c>
      <c r="N184">
        <v>2018</v>
      </c>
      <c r="O184" t="s">
        <v>1029</v>
      </c>
      <c r="P184">
        <v>2</v>
      </c>
    </row>
    <row r="185" spans="1:16" x14ac:dyDescent="0.3">
      <c r="A185" s="2" t="s">
        <v>391</v>
      </c>
      <c r="B185" s="2" t="s">
        <v>392</v>
      </c>
      <c r="C185" s="2" t="s">
        <v>11</v>
      </c>
      <c r="D185">
        <v>41</v>
      </c>
      <c r="E185" s="2" t="s">
        <v>18</v>
      </c>
      <c r="F185" s="2" t="s">
        <v>27</v>
      </c>
      <c r="G185">
        <v>195641</v>
      </c>
      <c r="H185" s="2" t="s">
        <v>14</v>
      </c>
      <c r="I185" s="3">
        <v>44775</v>
      </c>
      <c r="J185" t="s">
        <v>1029</v>
      </c>
      <c r="K185">
        <v>3</v>
      </c>
      <c r="L185" t="s">
        <v>1030</v>
      </c>
      <c r="M185" t="s">
        <v>1031</v>
      </c>
      <c r="N185">
        <v>2022</v>
      </c>
      <c r="O185" t="s">
        <v>1029</v>
      </c>
      <c r="P185">
        <v>2</v>
      </c>
    </row>
    <row r="186" spans="1:16" x14ac:dyDescent="0.3">
      <c r="A186" s="2" t="s">
        <v>393</v>
      </c>
      <c r="B186" s="2" t="s">
        <v>394</v>
      </c>
      <c r="C186" s="2" t="s">
        <v>11</v>
      </c>
      <c r="D186">
        <v>29</v>
      </c>
      <c r="E186" s="2" t="s">
        <v>18</v>
      </c>
      <c r="F186" s="2" t="s">
        <v>31</v>
      </c>
      <c r="G186">
        <v>31745</v>
      </c>
      <c r="H186" s="2" t="s">
        <v>14</v>
      </c>
      <c r="I186" s="3">
        <v>45422</v>
      </c>
      <c r="J186" t="s">
        <v>1029</v>
      </c>
      <c r="K186">
        <v>2</v>
      </c>
      <c r="L186" t="s">
        <v>1030</v>
      </c>
      <c r="M186" t="s">
        <v>1037</v>
      </c>
      <c r="N186">
        <v>2024</v>
      </c>
      <c r="O186" t="s">
        <v>1029</v>
      </c>
      <c r="P186">
        <v>2</v>
      </c>
    </row>
    <row r="187" spans="1:16" x14ac:dyDescent="0.3">
      <c r="A187" s="2" t="s">
        <v>395</v>
      </c>
      <c r="B187" s="2" t="s">
        <v>396</v>
      </c>
      <c r="C187" s="2" t="s">
        <v>11</v>
      </c>
      <c r="D187">
        <v>67</v>
      </c>
      <c r="E187" s="2" t="s">
        <v>34</v>
      </c>
      <c r="F187" s="2" t="s">
        <v>42</v>
      </c>
      <c r="G187">
        <v>46029</v>
      </c>
      <c r="H187" s="2" t="s">
        <v>24</v>
      </c>
      <c r="I187" s="3">
        <v>42881</v>
      </c>
      <c r="J187" t="s">
        <v>1038</v>
      </c>
      <c r="K187">
        <v>9</v>
      </c>
      <c r="L187" t="s">
        <v>1036</v>
      </c>
      <c r="M187" t="s">
        <v>1037</v>
      </c>
      <c r="N187">
        <v>2017</v>
      </c>
      <c r="O187" t="s">
        <v>1038</v>
      </c>
      <c r="P187">
        <v>4</v>
      </c>
    </row>
    <row r="188" spans="1:16" x14ac:dyDescent="0.3">
      <c r="A188" s="2" t="s">
        <v>397</v>
      </c>
      <c r="B188" s="2" t="s">
        <v>398</v>
      </c>
      <c r="C188" s="2" t="s">
        <v>17</v>
      </c>
      <c r="D188">
        <v>52</v>
      </c>
      <c r="E188" s="2" t="s">
        <v>18</v>
      </c>
      <c r="F188" s="2" t="s">
        <v>42</v>
      </c>
      <c r="G188">
        <v>164097</v>
      </c>
      <c r="H188" s="2" t="s">
        <v>14</v>
      </c>
      <c r="I188" s="3">
        <v>45101</v>
      </c>
      <c r="J188" t="s">
        <v>1032</v>
      </c>
      <c r="K188">
        <v>3</v>
      </c>
      <c r="L188" t="s">
        <v>1030</v>
      </c>
      <c r="M188" t="s">
        <v>1031</v>
      </c>
      <c r="N188">
        <v>2023</v>
      </c>
      <c r="O188" t="s">
        <v>1032</v>
      </c>
      <c r="P188">
        <v>3</v>
      </c>
    </row>
    <row r="189" spans="1:16" x14ac:dyDescent="0.3">
      <c r="A189" s="2" t="s">
        <v>399</v>
      </c>
      <c r="B189" s="2" t="s">
        <v>400</v>
      </c>
      <c r="C189" s="2" t="s">
        <v>11</v>
      </c>
      <c r="D189">
        <v>50</v>
      </c>
      <c r="E189" s="2" t="s">
        <v>18</v>
      </c>
      <c r="F189" s="2" t="s">
        <v>23</v>
      </c>
      <c r="G189">
        <v>143395</v>
      </c>
      <c r="H189" s="2" t="s">
        <v>20</v>
      </c>
      <c r="I189" s="3">
        <v>45211</v>
      </c>
      <c r="J189" t="s">
        <v>1032</v>
      </c>
      <c r="K189">
        <v>2</v>
      </c>
      <c r="L189" t="s">
        <v>1030</v>
      </c>
      <c r="M189" t="s">
        <v>1034</v>
      </c>
      <c r="N189">
        <v>2023</v>
      </c>
      <c r="O189" t="s">
        <v>1032</v>
      </c>
      <c r="P189">
        <v>3</v>
      </c>
    </row>
    <row r="190" spans="1:16" x14ac:dyDescent="0.3">
      <c r="A190" s="2" t="s">
        <v>401</v>
      </c>
      <c r="B190" s="2" t="s">
        <v>402</v>
      </c>
      <c r="C190" s="2" t="s">
        <v>11</v>
      </c>
      <c r="D190">
        <v>50</v>
      </c>
      <c r="E190" s="2" t="s">
        <v>30</v>
      </c>
      <c r="F190" s="2" t="s">
        <v>42</v>
      </c>
      <c r="G190">
        <v>165360</v>
      </c>
      <c r="H190" s="2" t="s">
        <v>14</v>
      </c>
      <c r="I190" s="3">
        <v>45535</v>
      </c>
      <c r="J190" t="s">
        <v>1032</v>
      </c>
      <c r="K190">
        <v>1</v>
      </c>
      <c r="L190" t="s">
        <v>1039</v>
      </c>
      <c r="M190" t="s">
        <v>1031</v>
      </c>
      <c r="N190">
        <v>2024</v>
      </c>
      <c r="O190" t="s">
        <v>1032</v>
      </c>
      <c r="P190">
        <v>3</v>
      </c>
    </row>
    <row r="191" spans="1:16" x14ac:dyDescent="0.3">
      <c r="A191" s="2" t="s">
        <v>403</v>
      </c>
      <c r="B191" s="2" t="s">
        <v>404</v>
      </c>
      <c r="C191" s="2" t="s">
        <v>17</v>
      </c>
      <c r="D191">
        <v>68</v>
      </c>
      <c r="E191" s="2" t="s">
        <v>12</v>
      </c>
      <c r="F191" s="2" t="s">
        <v>23</v>
      </c>
      <c r="G191">
        <v>109186</v>
      </c>
      <c r="H191" s="2" t="s">
        <v>14</v>
      </c>
      <c r="I191" s="3">
        <v>43008</v>
      </c>
      <c r="J191" t="s">
        <v>1038</v>
      </c>
      <c r="K191">
        <v>8</v>
      </c>
      <c r="L191" t="s">
        <v>1036</v>
      </c>
      <c r="M191" t="s">
        <v>1034</v>
      </c>
      <c r="N191">
        <v>2017</v>
      </c>
      <c r="O191" t="s">
        <v>1038</v>
      </c>
      <c r="P191">
        <v>4</v>
      </c>
    </row>
    <row r="192" spans="1:16" x14ac:dyDescent="0.3">
      <c r="A192" s="2" t="s">
        <v>405</v>
      </c>
      <c r="B192" s="2" t="s">
        <v>406</v>
      </c>
      <c r="C192" s="2" t="s">
        <v>11</v>
      </c>
      <c r="D192">
        <v>60</v>
      </c>
      <c r="E192" s="2" t="s">
        <v>34</v>
      </c>
      <c r="F192" s="2" t="s">
        <v>42</v>
      </c>
      <c r="G192">
        <v>157612</v>
      </c>
      <c r="H192" s="2" t="s">
        <v>14</v>
      </c>
      <c r="I192" s="3">
        <v>43780</v>
      </c>
      <c r="J192" t="s">
        <v>1032</v>
      </c>
      <c r="K192">
        <v>6</v>
      </c>
      <c r="L192" t="s">
        <v>1033</v>
      </c>
      <c r="M192" t="s">
        <v>1031</v>
      </c>
      <c r="N192">
        <v>2019</v>
      </c>
      <c r="O192" t="s">
        <v>1032</v>
      </c>
      <c r="P192">
        <v>3</v>
      </c>
    </row>
    <row r="193" spans="1:16" x14ac:dyDescent="0.3">
      <c r="A193" s="2" t="s">
        <v>407</v>
      </c>
      <c r="B193" s="2" t="s">
        <v>408</v>
      </c>
      <c r="C193" s="2" t="s">
        <v>11</v>
      </c>
      <c r="D193">
        <v>54</v>
      </c>
      <c r="E193" s="2" t="s">
        <v>34</v>
      </c>
      <c r="F193" s="2" t="s">
        <v>37</v>
      </c>
      <c r="G193">
        <v>117768</v>
      </c>
      <c r="H193" s="2" t="s">
        <v>14</v>
      </c>
      <c r="I193" s="3">
        <v>45891</v>
      </c>
      <c r="J193" t="s">
        <v>1032</v>
      </c>
      <c r="K193">
        <v>0</v>
      </c>
      <c r="L193" t="s">
        <v>1039</v>
      </c>
      <c r="M193" t="s">
        <v>1034</v>
      </c>
      <c r="N193">
        <v>2025</v>
      </c>
      <c r="O193" t="s">
        <v>1032</v>
      </c>
      <c r="P193">
        <v>3</v>
      </c>
    </row>
    <row r="194" spans="1:16" x14ac:dyDescent="0.3">
      <c r="A194" s="2" t="s">
        <v>409</v>
      </c>
      <c r="B194" s="2" t="s">
        <v>410</v>
      </c>
      <c r="C194" s="2" t="s">
        <v>11</v>
      </c>
      <c r="D194">
        <v>29</v>
      </c>
      <c r="E194" s="2" t="s">
        <v>34</v>
      </c>
      <c r="F194" s="2" t="s">
        <v>42</v>
      </c>
      <c r="G194">
        <v>61846</v>
      </c>
      <c r="H194" s="2" t="s">
        <v>20</v>
      </c>
      <c r="I194" s="3">
        <v>44169</v>
      </c>
      <c r="J194" t="s">
        <v>1029</v>
      </c>
      <c r="K194">
        <v>5</v>
      </c>
      <c r="L194" t="s">
        <v>1033</v>
      </c>
      <c r="M194" t="s">
        <v>1037</v>
      </c>
      <c r="N194">
        <v>2020</v>
      </c>
      <c r="O194" t="s">
        <v>1029</v>
      </c>
      <c r="P194">
        <v>2</v>
      </c>
    </row>
    <row r="195" spans="1:16" x14ac:dyDescent="0.3">
      <c r="A195" s="2" t="s">
        <v>411</v>
      </c>
      <c r="B195" s="2" t="s">
        <v>412</v>
      </c>
      <c r="C195" s="2" t="s">
        <v>11</v>
      </c>
      <c r="D195">
        <v>20</v>
      </c>
      <c r="E195" s="2" t="s">
        <v>18</v>
      </c>
      <c r="F195" s="2" t="s">
        <v>27</v>
      </c>
      <c r="G195">
        <v>95932</v>
      </c>
      <c r="H195" s="2" t="s">
        <v>14</v>
      </c>
      <c r="I195" s="3">
        <v>45446</v>
      </c>
      <c r="J195" t="s">
        <v>1035</v>
      </c>
      <c r="K195">
        <v>2</v>
      </c>
      <c r="L195" t="s">
        <v>1030</v>
      </c>
      <c r="M195" t="s">
        <v>1037</v>
      </c>
      <c r="N195">
        <v>2024</v>
      </c>
      <c r="O195" t="s">
        <v>1035</v>
      </c>
      <c r="P195">
        <v>1</v>
      </c>
    </row>
    <row r="196" spans="1:16" x14ac:dyDescent="0.3">
      <c r="A196" s="2" t="s">
        <v>413</v>
      </c>
      <c r="B196" s="2" t="s">
        <v>414</v>
      </c>
      <c r="C196" s="2" t="s">
        <v>11</v>
      </c>
      <c r="D196">
        <v>18</v>
      </c>
      <c r="E196" s="2" t="s">
        <v>18</v>
      </c>
      <c r="F196" s="2" t="s">
        <v>13</v>
      </c>
      <c r="G196">
        <v>168554</v>
      </c>
      <c r="H196" s="2" t="s">
        <v>20</v>
      </c>
      <c r="I196" s="3">
        <v>42269</v>
      </c>
      <c r="J196" t="s">
        <v>1035</v>
      </c>
      <c r="K196">
        <v>10</v>
      </c>
      <c r="L196" t="s">
        <v>1036</v>
      </c>
      <c r="M196" t="s">
        <v>1031</v>
      </c>
      <c r="N196">
        <v>2015</v>
      </c>
      <c r="O196" t="s">
        <v>1035</v>
      </c>
      <c r="P196">
        <v>1</v>
      </c>
    </row>
    <row r="197" spans="1:16" x14ac:dyDescent="0.3">
      <c r="A197" s="2" t="s">
        <v>415</v>
      </c>
      <c r="B197" s="2" t="s">
        <v>416</v>
      </c>
      <c r="C197" s="2" t="s">
        <v>17</v>
      </c>
      <c r="D197">
        <v>50</v>
      </c>
      <c r="E197" s="2" t="s">
        <v>18</v>
      </c>
      <c r="F197" s="2" t="s">
        <v>27</v>
      </c>
      <c r="G197">
        <v>43411</v>
      </c>
      <c r="H197" s="2" t="s">
        <v>20</v>
      </c>
      <c r="I197" s="3">
        <v>43612</v>
      </c>
      <c r="J197" t="s">
        <v>1032</v>
      </c>
      <c r="K197">
        <v>7</v>
      </c>
      <c r="L197" t="s">
        <v>1033</v>
      </c>
      <c r="M197" t="s">
        <v>1037</v>
      </c>
      <c r="N197">
        <v>2019</v>
      </c>
      <c r="O197" t="s">
        <v>1032</v>
      </c>
      <c r="P197">
        <v>3</v>
      </c>
    </row>
    <row r="198" spans="1:16" x14ac:dyDescent="0.3">
      <c r="A198" s="2" t="s">
        <v>417</v>
      </c>
      <c r="B198" s="2" t="s">
        <v>418</v>
      </c>
      <c r="C198" s="2" t="s">
        <v>17</v>
      </c>
      <c r="D198">
        <v>57</v>
      </c>
      <c r="E198" s="2" t="s">
        <v>30</v>
      </c>
      <c r="F198" s="2" t="s">
        <v>13</v>
      </c>
      <c r="G198">
        <v>98797</v>
      </c>
      <c r="H198" s="2" t="s">
        <v>24</v>
      </c>
      <c r="I198" s="3">
        <v>42402</v>
      </c>
      <c r="J198" t="s">
        <v>1032</v>
      </c>
      <c r="K198">
        <v>10</v>
      </c>
      <c r="L198" t="s">
        <v>1036</v>
      </c>
      <c r="M198" t="s">
        <v>1037</v>
      </c>
      <c r="N198">
        <v>2016</v>
      </c>
      <c r="O198" t="s">
        <v>1032</v>
      </c>
      <c r="P198">
        <v>3</v>
      </c>
    </row>
    <row r="199" spans="1:16" x14ac:dyDescent="0.3">
      <c r="A199" s="2" t="s">
        <v>419</v>
      </c>
      <c r="B199" s="2" t="s">
        <v>420</v>
      </c>
      <c r="C199" s="2" t="s">
        <v>17</v>
      </c>
      <c r="D199">
        <v>27</v>
      </c>
      <c r="E199" s="2" t="s">
        <v>12</v>
      </c>
      <c r="F199" s="2" t="s">
        <v>19</v>
      </c>
      <c r="G199">
        <v>72307</v>
      </c>
      <c r="H199" s="2" t="s">
        <v>14</v>
      </c>
      <c r="I199" s="3">
        <v>43945</v>
      </c>
      <c r="J199" t="s">
        <v>1035</v>
      </c>
      <c r="K199">
        <v>6</v>
      </c>
      <c r="L199" t="s">
        <v>1033</v>
      </c>
      <c r="M199" t="s">
        <v>1037</v>
      </c>
      <c r="N199">
        <v>2020</v>
      </c>
      <c r="O199" t="s">
        <v>1035</v>
      </c>
      <c r="P199">
        <v>1</v>
      </c>
    </row>
    <row r="200" spans="1:16" x14ac:dyDescent="0.3">
      <c r="A200" s="2" t="s">
        <v>421</v>
      </c>
      <c r="B200" s="2" t="s">
        <v>422</v>
      </c>
      <c r="C200" s="2" t="s">
        <v>11</v>
      </c>
      <c r="D200">
        <v>60</v>
      </c>
      <c r="E200" s="2" t="s">
        <v>18</v>
      </c>
      <c r="F200" s="2" t="s">
        <v>27</v>
      </c>
      <c r="G200">
        <v>154165</v>
      </c>
      <c r="H200" s="2" t="s">
        <v>14</v>
      </c>
      <c r="I200" s="3">
        <v>43118</v>
      </c>
      <c r="J200" t="s">
        <v>1032</v>
      </c>
      <c r="K200">
        <v>8</v>
      </c>
      <c r="L200" t="s">
        <v>1036</v>
      </c>
      <c r="M200" t="s">
        <v>1031</v>
      </c>
      <c r="N200">
        <v>2018</v>
      </c>
      <c r="O200" t="s">
        <v>1032</v>
      </c>
      <c r="P200">
        <v>3</v>
      </c>
    </row>
    <row r="201" spans="1:16" x14ac:dyDescent="0.3">
      <c r="A201" s="2" t="s">
        <v>423</v>
      </c>
      <c r="B201" s="2" t="s">
        <v>424</v>
      </c>
      <c r="C201" s="2" t="s">
        <v>11</v>
      </c>
      <c r="D201">
        <v>61</v>
      </c>
      <c r="E201" s="2" t="s">
        <v>12</v>
      </c>
      <c r="F201" s="2" t="s">
        <v>19</v>
      </c>
      <c r="G201">
        <v>42042</v>
      </c>
      <c r="H201" s="2" t="s">
        <v>14</v>
      </c>
      <c r="I201" s="3">
        <v>45365</v>
      </c>
      <c r="J201" t="s">
        <v>1038</v>
      </c>
      <c r="K201">
        <v>2</v>
      </c>
      <c r="L201" t="s">
        <v>1030</v>
      </c>
      <c r="M201" t="s">
        <v>1037</v>
      </c>
      <c r="N201">
        <v>2024</v>
      </c>
      <c r="O201" t="s">
        <v>1038</v>
      </c>
      <c r="P201">
        <v>4</v>
      </c>
    </row>
    <row r="202" spans="1:16" x14ac:dyDescent="0.3">
      <c r="A202" s="2" t="s">
        <v>425</v>
      </c>
      <c r="B202" s="2" t="s">
        <v>426</v>
      </c>
      <c r="C202" s="2" t="s">
        <v>11</v>
      </c>
      <c r="D202">
        <v>46</v>
      </c>
      <c r="E202" s="2" t="s">
        <v>30</v>
      </c>
      <c r="F202" s="2" t="s">
        <v>23</v>
      </c>
      <c r="G202">
        <v>72930</v>
      </c>
      <c r="H202" s="2" t="s">
        <v>24</v>
      </c>
      <c r="I202" s="3">
        <v>42971</v>
      </c>
      <c r="J202" t="s">
        <v>1032</v>
      </c>
      <c r="K202">
        <v>8</v>
      </c>
      <c r="L202" t="s">
        <v>1036</v>
      </c>
      <c r="M202" t="s">
        <v>1037</v>
      </c>
      <c r="N202">
        <v>2017</v>
      </c>
      <c r="O202" t="s">
        <v>1032</v>
      </c>
      <c r="P202">
        <v>3</v>
      </c>
    </row>
    <row r="203" spans="1:16" x14ac:dyDescent="0.3">
      <c r="A203" s="2" t="s">
        <v>427</v>
      </c>
      <c r="B203" s="2" t="s">
        <v>428</v>
      </c>
      <c r="C203" s="2" t="s">
        <v>17</v>
      </c>
      <c r="D203">
        <v>30</v>
      </c>
      <c r="E203" s="2" t="s">
        <v>34</v>
      </c>
      <c r="F203" s="2" t="s">
        <v>23</v>
      </c>
      <c r="G203">
        <v>195485</v>
      </c>
      <c r="H203" s="2" t="s">
        <v>24</v>
      </c>
      <c r="I203" s="3">
        <v>43537</v>
      </c>
      <c r="J203" t="s">
        <v>1029</v>
      </c>
      <c r="K203">
        <v>7</v>
      </c>
      <c r="L203" t="s">
        <v>1033</v>
      </c>
      <c r="M203" t="s">
        <v>1031</v>
      </c>
      <c r="N203">
        <v>2019</v>
      </c>
      <c r="O203" t="s">
        <v>1029</v>
      </c>
      <c r="P203">
        <v>2</v>
      </c>
    </row>
    <row r="204" spans="1:16" x14ac:dyDescent="0.3">
      <c r="A204" s="2" t="s">
        <v>429</v>
      </c>
      <c r="B204" s="2" t="s">
        <v>430</v>
      </c>
      <c r="C204" s="2" t="s">
        <v>11</v>
      </c>
      <c r="D204">
        <v>29</v>
      </c>
      <c r="E204" s="2" t="s">
        <v>18</v>
      </c>
      <c r="F204" s="2" t="s">
        <v>37</v>
      </c>
      <c r="G204">
        <v>117883</v>
      </c>
      <c r="H204" s="2" t="s">
        <v>14</v>
      </c>
      <c r="I204" s="3">
        <v>45525</v>
      </c>
      <c r="J204" t="s">
        <v>1029</v>
      </c>
      <c r="K204">
        <v>1</v>
      </c>
      <c r="L204" t="s">
        <v>1039</v>
      </c>
      <c r="M204" t="s">
        <v>1034</v>
      </c>
      <c r="N204">
        <v>2024</v>
      </c>
      <c r="O204" t="s">
        <v>1029</v>
      </c>
      <c r="P204">
        <v>2</v>
      </c>
    </row>
    <row r="205" spans="1:16" x14ac:dyDescent="0.3">
      <c r="A205" s="2" t="s">
        <v>431</v>
      </c>
      <c r="B205" s="2" t="s">
        <v>432</v>
      </c>
      <c r="C205" s="2" t="s">
        <v>11</v>
      </c>
      <c r="D205">
        <v>48</v>
      </c>
      <c r="E205" s="2" t="s">
        <v>12</v>
      </c>
      <c r="F205" s="2" t="s">
        <v>42</v>
      </c>
      <c r="G205">
        <v>53756</v>
      </c>
      <c r="H205" s="2" t="s">
        <v>20</v>
      </c>
      <c r="I205" s="3">
        <v>42533</v>
      </c>
      <c r="J205" t="s">
        <v>1032</v>
      </c>
      <c r="K205">
        <v>10</v>
      </c>
      <c r="L205" t="s">
        <v>1036</v>
      </c>
      <c r="M205" t="s">
        <v>1037</v>
      </c>
      <c r="N205">
        <v>2016</v>
      </c>
      <c r="O205" t="s">
        <v>1032</v>
      </c>
      <c r="P205">
        <v>3</v>
      </c>
    </row>
    <row r="206" spans="1:16" x14ac:dyDescent="0.3">
      <c r="A206" s="2" t="s">
        <v>433</v>
      </c>
      <c r="B206" s="2" t="s">
        <v>434</v>
      </c>
      <c r="C206" s="2" t="s">
        <v>17</v>
      </c>
      <c r="D206">
        <v>63</v>
      </c>
      <c r="E206" s="2" t="s">
        <v>12</v>
      </c>
      <c r="F206" s="2" t="s">
        <v>27</v>
      </c>
      <c r="G206">
        <v>73268</v>
      </c>
      <c r="H206" s="2" t="s">
        <v>14</v>
      </c>
      <c r="I206" s="3">
        <v>45587</v>
      </c>
      <c r="J206" t="s">
        <v>1038</v>
      </c>
      <c r="K206">
        <v>1</v>
      </c>
      <c r="L206" t="s">
        <v>1039</v>
      </c>
      <c r="M206" t="s">
        <v>1037</v>
      </c>
      <c r="N206">
        <v>2024</v>
      </c>
      <c r="O206" t="s">
        <v>1038</v>
      </c>
      <c r="P206">
        <v>4</v>
      </c>
    </row>
    <row r="207" spans="1:16" x14ac:dyDescent="0.3">
      <c r="A207" s="2" t="s">
        <v>435</v>
      </c>
      <c r="B207" s="2" t="s">
        <v>436</v>
      </c>
      <c r="C207" s="2" t="s">
        <v>11</v>
      </c>
      <c r="D207">
        <v>19</v>
      </c>
      <c r="E207" s="2" t="s">
        <v>18</v>
      </c>
      <c r="F207" s="2" t="s">
        <v>19</v>
      </c>
      <c r="G207">
        <v>190286</v>
      </c>
      <c r="H207" s="2" t="s">
        <v>20</v>
      </c>
      <c r="I207" s="3">
        <v>43918</v>
      </c>
      <c r="J207" t="s">
        <v>1035</v>
      </c>
      <c r="K207">
        <v>6</v>
      </c>
      <c r="L207" t="s">
        <v>1033</v>
      </c>
      <c r="M207" t="s">
        <v>1031</v>
      </c>
      <c r="N207">
        <v>2020</v>
      </c>
      <c r="O207" t="s">
        <v>1035</v>
      </c>
      <c r="P207">
        <v>1</v>
      </c>
    </row>
    <row r="208" spans="1:16" x14ac:dyDescent="0.3">
      <c r="A208" s="2" t="s">
        <v>437</v>
      </c>
      <c r="B208" s="2" t="s">
        <v>438</v>
      </c>
      <c r="C208" s="2" t="s">
        <v>17</v>
      </c>
      <c r="D208">
        <v>68</v>
      </c>
      <c r="E208" s="2" t="s">
        <v>34</v>
      </c>
      <c r="F208" s="2" t="s">
        <v>13</v>
      </c>
      <c r="G208">
        <v>179674</v>
      </c>
      <c r="H208" s="2" t="s">
        <v>14</v>
      </c>
      <c r="I208" s="3">
        <v>43431</v>
      </c>
      <c r="J208" t="s">
        <v>1038</v>
      </c>
      <c r="K208">
        <v>7</v>
      </c>
      <c r="L208" t="s">
        <v>1033</v>
      </c>
      <c r="M208" t="s">
        <v>1031</v>
      </c>
      <c r="N208">
        <v>2018</v>
      </c>
      <c r="O208" t="s">
        <v>1038</v>
      </c>
      <c r="P208">
        <v>4</v>
      </c>
    </row>
    <row r="209" spans="1:16" x14ac:dyDescent="0.3">
      <c r="A209" s="2" t="s">
        <v>439</v>
      </c>
      <c r="B209" s="2" t="s">
        <v>440</v>
      </c>
      <c r="C209" s="2" t="s">
        <v>17</v>
      </c>
      <c r="D209">
        <v>67</v>
      </c>
      <c r="E209" s="2" t="s">
        <v>34</v>
      </c>
      <c r="F209" s="2" t="s">
        <v>23</v>
      </c>
      <c r="G209">
        <v>68901</v>
      </c>
      <c r="H209" s="2" t="s">
        <v>20</v>
      </c>
      <c r="I209" s="3">
        <v>44644</v>
      </c>
      <c r="J209" t="s">
        <v>1038</v>
      </c>
      <c r="K209">
        <v>4</v>
      </c>
      <c r="L209" t="s">
        <v>1033</v>
      </c>
      <c r="M209" t="s">
        <v>1037</v>
      </c>
      <c r="N209">
        <v>2022</v>
      </c>
      <c r="O209" t="s">
        <v>1038</v>
      </c>
      <c r="P209">
        <v>4</v>
      </c>
    </row>
    <row r="210" spans="1:16" x14ac:dyDescent="0.3">
      <c r="A210" s="2" t="s">
        <v>441</v>
      </c>
      <c r="B210" s="2" t="s">
        <v>442</v>
      </c>
      <c r="C210" s="2" t="s">
        <v>17</v>
      </c>
      <c r="D210">
        <v>52</v>
      </c>
      <c r="E210" s="2" t="s">
        <v>34</v>
      </c>
      <c r="F210" s="2" t="s">
        <v>42</v>
      </c>
      <c r="G210">
        <v>119986</v>
      </c>
      <c r="H210" s="2" t="s">
        <v>14</v>
      </c>
      <c r="I210" s="3">
        <v>43935</v>
      </c>
      <c r="J210" t="s">
        <v>1032</v>
      </c>
      <c r="K210">
        <v>6</v>
      </c>
      <c r="L210" t="s">
        <v>1033</v>
      </c>
      <c r="M210" t="s">
        <v>1034</v>
      </c>
      <c r="N210">
        <v>2020</v>
      </c>
      <c r="O210" t="s">
        <v>1032</v>
      </c>
      <c r="P210">
        <v>3</v>
      </c>
    </row>
    <row r="211" spans="1:16" x14ac:dyDescent="0.3">
      <c r="A211" s="2" t="s">
        <v>443</v>
      </c>
      <c r="B211" s="2" t="s">
        <v>444</v>
      </c>
      <c r="C211" s="2" t="s">
        <v>11</v>
      </c>
      <c r="D211">
        <v>40</v>
      </c>
      <c r="E211" s="2" t="s">
        <v>30</v>
      </c>
      <c r="F211" s="2" t="s">
        <v>23</v>
      </c>
      <c r="G211">
        <v>183268</v>
      </c>
      <c r="H211" s="2" t="s">
        <v>20</v>
      </c>
      <c r="I211" s="3">
        <v>43742</v>
      </c>
      <c r="J211" t="s">
        <v>1029</v>
      </c>
      <c r="K211">
        <v>6</v>
      </c>
      <c r="L211" t="s">
        <v>1033</v>
      </c>
      <c r="M211" t="s">
        <v>1031</v>
      </c>
      <c r="N211">
        <v>2019</v>
      </c>
      <c r="O211" t="s">
        <v>1029</v>
      </c>
      <c r="P211">
        <v>2</v>
      </c>
    </row>
    <row r="212" spans="1:16" x14ac:dyDescent="0.3">
      <c r="A212" s="2" t="s">
        <v>445</v>
      </c>
      <c r="B212" s="2" t="s">
        <v>446</v>
      </c>
      <c r="C212" s="2" t="s">
        <v>11</v>
      </c>
      <c r="D212">
        <v>34</v>
      </c>
      <c r="E212" s="2" t="s">
        <v>12</v>
      </c>
      <c r="F212" s="2" t="s">
        <v>13</v>
      </c>
      <c r="G212">
        <v>148386</v>
      </c>
      <c r="H212" s="2" t="s">
        <v>20</v>
      </c>
      <c r="I212" s="3">
        <v>43881</v>
      </c>
      <c r="J212" t="s">
        <v>1029</v>
      </c>
      <c r="K212">
        <v>6</v>
      </c>
      <c r="L212" t="s">
        <v>1033</v>
      </c>
      <c r="M212" t="s">
        <v>1034</v>
      </c>
      <c r="N212">
        <v>2020</v>
      </c>
      <c r="O212" t="s">
        <v>1029</v>
      </c>
      <c r="P212">
        <v>2</v>
      </c>
    </row>
    <row r="213" spans="1:16" x14ac:dyDescent="0.3">
      <c r="A213" s="2" t="s">
        <v>447</v>
      </c>
      <c r="B213" s="2" t="s">
        <v>448</v>
      </c>
      <c r="C213" s="2" t="s">
        <v>11</v>
      </c>
      <c r="D213">
        <v>43</v>
      </c>
      <c r="E213" s="2" t="s">
        <v>12</v>
      </c>
      <c r="F213" s="2" t="s">
        <v>42</v>
      </c>
      <c r="G213">
        <v>25626</v>
      </c>
      <c r="H213" s="2" t="s">
        <v>20</v>
      </c>
      <c r="I213" s="3">
        <v>43477</v>
      </c>
      <c r="J213" t="s">
        <v>1029</v>
      </c>
      <c r="K213">
        <v>7</v>
      </c>
      <c r="L213" t="s">
        <v>1033</v>
      </c>
      <c r="M213" t="s">
        <v>1037</v>
      </c>
      <c r="N213">
        <v>2019</v>
      </c>
      <c r="O213" t="s">
        <v>1029</v>
      </c>
      <c r="P213">
        <v>2</v>
      </c>
    </row>
    <row r="214" spans="1:16" x14ac:dyDescent="0.3">
      <c r="A214" s="2" t="s">
        <v>449</v>
      </c>
      <c r="B214" s="2" t="s">
        <v>450</v>
      </c>
      <c r="C214" s="2" t="s">
        <v>11</v>
      </c>
      <c r="D214">
        <v>25</v>
      </c>
      <c r="E214" s="2" t="s">
        <v>12</v>
      </c>
      <c r="F214" s="2" t="s">
        <v>42</v>
      </c>
      <c r="G214">
        <v>158496</v>
      </c>
      <c r="H214" s="2" t="s">
        <v>14</v>
      </c>
      <c r="I214" s="3">
        <v>42973</v>
      </c>
      <c r="J214" t="s">
        <v>1035</v>
      </c>
      <c r="K214">
        <v>8</v>
      </c>
      <c r="L214" t="s">
        <v>1036</v>
      </c>
      <c r="M214" t="s">
        <v>1031</v>
      </c>
      <c r="N214">
        <v>2017</v>
      </c>
      <c r="O214" t="s">
        <v>1035</v>
      </c>
      <c r="P214">
        <v>1</v>
      </c>
    </row>
    <row r="215" spans="1:16" x14ac:dyDescent="0.3">
      <c r="A215" s="2" t="s">
        <v>451</v>
      </c>
      <c r="B215" s="2" t="s">
        <v>452</v>
      </c>
      <c r="C215" s="2" t="s">
        <v>11</v>
      </c>
      <c r="D215">
        <v>46</v>
      </c>
      <c r="E215" s="2" t="s">
        <v>30</v>
      </c>
      <c r="F215" s="2" t="s">
        <v>19</v>
      </c>
      <c r="G215">
        <v>32857</v>
      </c>
      <c r="H215" s="2" t="s">
        <v>14</v>
      </c>
      <c r="I215" s="3">
        <v>44799</v>
      </c>
      <c r="J215" t="s">
        <v>1032</v>
      </c>
      <c r="K215">
        <v>3</v>
      </c>
      <c r="L215" t="s">
        <v>1030</v>
      </c>
      <c r="M215" t="s">
        <v>1037</v>
      </c>
      <c r="N215">
        <v>2022</v>
      </c>
      <c r="O215" t="s">
        <v>1032</v>
      </c>
      <c r="P215">
        <v>3</v>
      </c>
    </row>
    <row r="216" spans="1:16" x14ac:dyDescent="0.3">
      <c r="A216" s="2" t="s">
        <v>453</v>
      </c>
      <c r="B216" s="2" t="s">
        <v>454</v>
      </c>
      <c r="C216" s="2" t="s">
        <v>11</v>
      </c>
      <c r="D216">
        <v>43</v>
      </c>
      <c r="E216" s="2" t="s">
        <v>12</v>
      </c>
      <c r="F216" s="2" t="s">
        <v>19</v>
      </c>
      <c r="G216">
        <v>171054</v>
      </c>
      <c r="H216" s="2" t="s">
        <v>14</v>
      </c>
      <c r="I216" s="3">
        <v>43877</v>
      </c>
      <c r="J216" t="s">
        <v>1029</v>
      </c>
      <c r="K216">
        <v>6</v>
      </c>
      <c r="L216" t="s">
        <v>1033</v>
      </c>
      <c r="M216" t="s">
        <v>1031</v>
      </c>
      <c r="N216">
        <v>2020</v>
      </c>
      <c r="O216" t="s">
        <v>1029</v>
      </c>
      <c r="P216">
        <v>2</v>
      </c>
    </row>
    <row r="217" spans="1:16" x14ac:dyDescent="0.3">
      <c r="A217" s="2" t="s">
        <v>455</v>
      </c>
      <c r="B217" s="2" t="s">
        <v>456</v>
      </c>
      <c r="C217" s="2" t="s">
        <v>11</v>
      </c>
      <c r="D217">
        <v>27</v>
      </c>
      <c r="E217" s="2" t="s">
        <v>30</v>
      </c>
      <c r="F217" s="2" t="s">
        <v>27</v>
      </c>
      <c r="G217">
        <v>153052</v>
      </c>
      <c r="H217" s="2" t="s">
        <v>14</v>
      </c>
      <c r="I217" s="3">
        <v>42311</v>
      </c>
      <c r="J217" t="s">
        <v>1035</v>
      </c>
      <c r="K217">
        <v>10</v>
      </c>
      <c r="L217" t="s">
        <v>1036</v>
      </c>
      <c r="M217" t="s">
        <v>1031</v>
      </c>
      <c r="N217">
        <v>2015</v>
      </c>
      <c r="O217" t="s">
        <v>1035</v>
      </c>
      <c r="P217">
        <v>1</v>
      </c>
    </row>
    <row r="218" spans="1:16" x14ac:dyDescent="0.3">
      <c r="A218" s="2" t="s">
        <v>457</v>
      </c>
      <c r="B218" s="2" t="s">
        <v>458</v>
      </c>
      <c r="C218" s="2" t="s">
        <v>17</v>
      </c>
      <c r="D218">
        <v>43</v>
      </c>
      <c r="E218" s="2" t="s">
        <v>34</v>
      </c>
      <c r="F218" s="2" t="s">
        <v>27</v>
      </c>
      <c r="G218">
        <v>199362</v>
      </c>
      <c r="H218" s="2" t="s">
        <v>14</v>
      </c>
      <c r="I218" s="3">
        <v>45083</v>
      </c>
      <c r="J218" t="s">
        <v>1029</v>
      </c>
      <c r="K218">
        <v>3</v>
      </c>
      <c r="L218" t="s">
        <v>1030</v>
      </c>
      <c r="M218" t="s">
        <v>1031</v>
      </c>
      <c r="N218">
        <v>2023</v>
      </c>
      <c r="O218" t="s">
        <v>1029</v>
      </c>
      <c r="P218">
        <v>2</v>
      </c>
    </row>
    <row r="219" spans="1:16" x14ac:dyDescent="0.3">
      <c r="A219" s="2" t="s">
        <v>459</v>
      </c>
      <c r="B219" s="2" t="s">
        <v>460</v>
      </c>
      <c r="C219" s="2" t="s">
        <v>11</v>
      </c>
      <c r="D219">
        <v>51</v>
      </c>
      <c r="E219" s="2" t="s">
        <v>18</v>
      </c>
      <c r="F219" s="2" t="s">
        <v>31</v>
      </c>
      <c r="G219">
        <v>46431</v>
      </c>
      <c r="H219" s="2" t="s">
        <v>24</v>
      </c>
      <c r="I219" s="3">
        <v>42586</v>
      </c>
      <c r="J219" t="s">
        <v>1032</v>
      </c>
      <c r="K219">
        <v>9</v>
      </c>
      <c r="L219" t="s">
        <v>1036</v>
      </c>
      <c r="M219" t="s">
        <v>1037</v>
      </c>
      <c r="N219">
        <v>2016</v>
      </c>
      <c r="O219" t="s">
        <v>1032</v>
      </c>
      <c r="P219">
        <v>3</v>
      </c>
    </row>
    <row r="220" spans="1:16" x14ac:dyDescent="0.3">
      <c r="A220" s="2" t="s">
        <v>461</v>
      </c>
      <c r="B220" s="2" t="s">
        <v>462</v>
      </c>
      <c r="C220" s="2" t="s">
        <v>17</v>
      </c>
      <c r="D220">
        <v>68</v>
      </c>
      <c r="E220" s="2" t="s">
        <v>12</v>
      </c>
      <c r="F220" s="2" t="s">
        <v>31</v>
      </c>
      <c r="G220">
        <v>104976</v>
      </c>
      <c r="H220" s="2" t="s">
        <v>14</v>
      </c>
      <c r="I220" s="3">
        <v>43719</v>
      </c>
      <c r="J220" t="s">
        <v>1038</v>
      </c>
      <c r="K220">
        <v>6</v>
      </c>
      <c r="L220" t="s">
        <v>1033</v>
      </c>
      <c r="M220" t="s">
        <v>1034</v>
      </c>
      <c r="N220">
        <v>2019</v>
      </c>
      <c r="O220" t="s">
        <v>1038</v>
      </c>
      <c r="P220">
        <v>4</v>
      </c>
    </row>
    <row r="221" spans="1:16" x14ac:dyDescent="0.3">
      <c r="A221" s="2" t="s">
        <v>463</v>
      </c>
      <c r="B221" s="2" t="s">
        <v>464</v>
      </c>
      <c r="C221" s="2" t="s">
        <v>11</v>
      </c>
      <c r="D221">
        <v>58</v>
      </c>
      <c r="E221" s="2" t="s">
        <v>12</v>
      </c>
      <c r="F221" s="2" t="s">
        <v>37</v>
      </c>
      <c r="G221">
        <v>102711</v>
      </c>
      <c r="H221" s="2" t="s">
        <v>14</v>
      </c>
      <c r="I221" s="3">
        <v>45427</v>
      </c>
      <c r="J221" t="s">
        <v>1032</v>
      </c>
      <c r="K221">
        <v>2</v>
      </c>
      <c r="L221" t="s">
        <v>1030</v>
      </c>
      <c r="M221" t="s">
        <v>1034</v>
      </c>
      <c r="N221">
        <v>2024</v>
      </c>
      <c r="O221" t="s">
        <v>1032</v>
      </c>
      <c r="P221">
        <v>3</v>
      </c>
    </row>
    <row r="222" spans="1:16" x14ac:dyDescent="0.3">
      <c r="A222" s="2" t="s">
        <v>465</v>
      </c>
      <c r="B222" s="2" t="s">
        <v>466</v>
      </c>
      <c r="C222" s="2" t="s">
        <v>11</v>
      </c>
      <c r="D222">
        <v>24</v>
      </c>
      <c r="E222" s="2" t="s">
        <v>34</v>
      </c>
      <c r="F222" s="2" t="s">
        <v>23</v>
      </c>
      <c r="G222">
        <v>46385</v>
      </c>
      <c r="H222" s="2" t="s">
        <v>14</v>
      </c>
      <c r="I222" s="3">
        <v>43046</v>
      </c>
      <c r="J222" t="s">
        <v>1035</v>
      </c>
      <c r="K222">
        <v>8</v>
      </c>
      <c r="L222" t="s">
        <v>1036</v>
      </c>
      <c r="M222" t="s">
        <v>1037</v>
      </c>
      <c r="N222">
        <v>2017</v>
      </c>
      <c r="O222" t="s">
        <v>1035</v>
      </c>
      <c r="P222">
        <v>1</v>
      </c>
    </row>
    <row r="223" spans="1:16" x14ac:dyDescent="0.3">
      <c r="A223" s="2" t="s">
        <v>467</v>
      </c>
      <c r="B223" s="2" t="s">
        <v>1041</v>
      </c>
      <c r="C223" s="2" t="s">
        <v>11</v>
      </c>
      <c r="D223">
        <v>21</v>
      </c>
      <c r="E223" s="2" t="s">
        <v>18</v>
      </c>
      <c r="F223" s="2" t="s">
        <v>27</v>
      </c>
      <c r="G223">
        <v>189230</v>
      </c>
      <c r="H223" s="2" t="s">
        <v>14</v>
      </c>
      <c r="I223" s="3">
        <v>45495</v>
      </c>
      <c r="J223" t="s">
        <v>1035</v>
      </c>
      <c r="K223">
        <v>1</v>
      </c>
      <c r="L223" t="s">
        <v>1039</v>
      </c>
      <c r="M223" t="s">
        <v>1031</v>
      </c>
      <c r="N223">
        <v>2024</v>
      </c>
      <c r="O223" t="s">
        <v>1035</v>
      </c>
      <c r="P223">
        <v>1</v>
      </c>
    </row>
    <row r="224" spans="1:16" x14ac:dyDescent="0.3">
      <c r="A224" s="2" t="s">
        <v>469</v>
      </c>
      <c r="B224" s="2" t="s">
        <v>470</v>
      </c>
      <c r="C224" s="2" t="s">
        <v>17</v>
      </c>
      <c r="D224">
        <v>70</v>
      </c>
      <c r="E224" s="2" t="s">
        <v>30</v>
      </c>
      <c r="F224" s="2" t="s">
        <v>19</v>
      </c>
      <c r="G224">
        <v>174091</v>
      </c>
      <c r="H224" s="2" t="s">
        <v>20</v>
      </c>
      <c r="I224" s="3">
        <v>42378</v>
      </c>
      <c r="J224" t="s">
        <v>1038</v>
      </c>
      <c r="K224">
        <v>10</v>
      </c>
      <c r="L224" t="s">
        <v>1036</v>
      </c>
      <c r="M224" t="s">
        <v>1031</v>
      </c>
      <c r="N224">
        <v>2016</v>
      </c>
      <c r="O224" t="s">
        <v>1038</v>
      </c>
      <c r="P224">
        <v>4</v>
      </c>
    </row>
    <row r="225" spans="1:16" x14ac:dyDescent="0.3">
      <c r="A225" s="2" t="s">
        <v>471</v>
      </c>
      <c r="B225" s="2" t="s">
        <v>472</v>
      </c>
      <c r="C225" s="2" t="s">
        <v>17</v>
      </c>
      <c r="D225">
        <v>67</v>
      </c>
      <c r="E225" s="2" t="s">
        <v>18</v>
      </c>
      <c r="F225" s="2" t="s">
        <v>13</v>
      </c>
      <c r="G225">
        <v>38639</v>
      </c>
      <c r="H225" s="2" t="s">
        <v>14</v>
      </c>
      <c r="I225" s="3">
        <v>42653</v>
      </c>
      <c r="J225" t="s">
        <v>1038</v>
      </c>
      <c r="K225">
        <v>9</v>
      </c>
      <c r="L225" t="s">
        <v>1036</v>
      </c>
      <c r="M225" t="s">
        <v>1037</v>
      </c>
      <c r="N225">
        <v>2016</v>
      </c>
      <c r="O225" t="s">
        <v>1038</v>
      </c>
      <c r="P225">
        <v>4</v>
      </c>
    </row>
    <row r="226" spans="1:16" x14ac:dyDescent="0.3">
      <c r="A226" s="2" t="s">
        <v>473</v>
      </c>
      <c r="B226" s="2" t="s">
        <v>474</v>
      </c>
      <c r="C226" s="2" t="s">
        <v>17</v>
      </c>
      <c r="D226">
        <v>62</v>
      </c>
      <c r="E226" s="2" t="s">
        <v>34</v>
      </c>
      <c r="F226" s="2" t="s">
        <v>19</v>
      </c>
      <c r="G226">
        <v>105530</v>
      </c>
      <c r="H226" s="2" t="s">
        <v>24</v>
      </c>
      <c r="I226" s="3">
        <v>43070</v>
      </c>
      <c r="J226" t="s">
        <v>1038</v>
      </c>
      <c r="K226">
        <v>8</v>
      </c>
      <c r="L226" t="s">
        <v>1036</v>
      </c>
      <c r="M226" t="s">
        <v>1034</v>
      </c>
      <c r="N226">
        <v>2017</v>
      </c>
      <c r="O226" t="s">
        <v>1038</v>
      </c>
      <c r="P226">
        <v>4</v>
      </c>
    </row>
    <row r="227" spans="1:16" x14ac:dyDescent="0.3">
      <c r="A227" s="2" t="s">
        <v>475</v>
      </c>
      <c r="B227" s="2" t="s">
        <v>476</v>
      </c>
      <c r="C227" s="2" t="s">
        <v>17</v>
      </c>
      <c r="D227">
        <v>28</v>
      </c>
      <c r="E227" s="2" t="s">
        <v>34</v>
      </c>
      <c r="F227" s="2" t="s">
        <v>23</v>
      </c>
      <c r="G227">
        <v>41563</v>
      </c>
      <c r="H227" s="2" t="s">
        <v>14</v>
      </c>
      <c r="I227" s="3">
        <v>45387</v>
      </c>
      <c r="J227" t="s">
        <v>1035</v>
      </c>
      <c r="K227">
        <v>2</v>
      </c>
      <c r="L227" t="s">
        <v>1030</v>
      </c>
      <c r="M227" t="s">
        <v>1037</v>
      </c>
      <c r="N227">
        <v>2024</v>
      </c>
      <c r="O227" t="s">
        <v>1035</v>
      </c>
      <c r="P227">
        <v>1</v>
      </c>
    </row>
    <row r="228" spans="1:16" x14ac:dyDescent="0.3">
      <c r="A228" s="2" t="s">
        <v>477</v>
      </c>
      <c r="B228" s="2" t="s">
        <v>478</v>
      </c>
      <c r="C228" s="2" t="s">
        <v>11</v>
      </c>
      <c r="D228">
        <v>46</v>
      </c>
      <c r="E228" s="2" t="s">
        <v>18</v>
      </c>
      <c r="F228" s="2" t="s">
        <v>31</v>
      </c>
      <c r="G228">
        <v>190413</v>
      </c>
      <c r="H228" s="2" t="s">
        <v>24</v>
      </c>
      <c r="I228" s="3">
        <v>42873</v>
      </c>
      <c r="J228" t="s">
        <v>1032</v>
      </c>
      <c r="K228">
        <v>9</v>
      </c>
      <c r="L228" t="s">
        <v>1036</v>
      </c>
      <c r="M228" t="s">
        <v>1031</v>
      </c>
      <c r="N228">
        <v>2017</v>
      </c>
      <c r="O228" t="s">
        <v>1032</v>
      </c>
      <c r="P228">
        <v>3</v>
      </c>
    </row>
    <row r="229" spans="1:16" x14ac:dyDescent="0.3">
      <c r="A229" s="2" t="s">
        <v>479</v>
      </c>
      <c r="B229" s="2" t="s">
        <v>480</v>
      </c>
      <c r="C229" s="2" t="s">
        <v>17</v>
      </c>
      <c r="D229">
        <v>73</v>
      </c>
      <c r="E229" s="2" t="s">
        <v>30</v>
      </c>
      <c r="F229" s="2" t="s">
        <v>19</v>
      </c>
      <c r="G229">
        <v>135672</v>
      </c>
      <c r="H229" s="2" t="s">
        <v>20</v>
      </c>
      <c r="I229" s="3">
        <v>43479</v>
      </c>
      <c r="J229" t="s">
        <v>1038</v>
      </c>
      <c r="K229">
        <v>7</v>
      </c>
      <c r="L229" t="s">
        <v>1033</v>
      </c>
      <c r="M229" t="s">
        <v>1034</v>
      </c>
      <c r="N229">
        <v>2019</v>
      </c>
      <c r="O229" t="s">
        <v>1038</v>
      </c>
      <c r="P229">
        <v>4</v>
      </c>
    </row>
    <row r="230" spans="1:16" x14ac:dyDescent="0.3">
      <c r="A230" s="2" t="s">
        <v>481</v>
      </c>
      <c r="B230" s="2" t="s">
        <v>482</v>
      </c>
      <c r="C230" s="2" t="s">
        <v>11</v>
      </c>
      <c r="D230">
        <v>53</v>
      </c>
      <c r="E230" s="2" t="s">
        <v>30</v>
      </c>
      <c r="F230" s="2" t="s">
        <v>37</v>
      </c>
      <c r="G230">
        <v>156848</v>
      </c>
      <c r="H230" s="2" t="s">
        <v>14</v>
      </c>
      <c r="I230" s="3">
        <v>44786</v>
      </c>
      <c r="J230" t="s">
        <v>1032</v>
      </c>
      <c r="K230">
        <v>3</v>
      </c>
      <c r="L230" t="s">
        <v>1030</v>
      </c>
      <c r="M230" t="s">
        <v>1031</v>
      </c>
      <c r="N230">
        <v>2022</v>
      </c>
      <c r="O230" t="s">
        <v>1032</v>
      </c>
      <c r="P230">
        <v>3</v>
      </c>
    </row>
    <row r="231" spans="1:16" x14ac:dyDescent="0.3">
      <c r="A231" s="2" t="s">
        <v>483</v>
      </c>
      <c r="B231" s="2" t="s">
        <v>484</v>
      </c>
      <c r="C231" s="2" t="s">
        <v>11</v>
      </c>
      <c r="D231">
        <v>42</v>
      </c>
      <c r="E231" s="2" t="s">
        <v>12</v>
      </c>
      <c r="F231" s="2" t="s">
        <v>23</v>
      </c>
      <c r="G231">
        <v>187516</v>
      </c>
      <c r="H231" s="2" t="s">
        <v>24</v>
      </c>
      <c r="I231" s="3">
        <v>43184</v>
      </c>
      <c r="J231" t="s">
        <v>1029</v>
      </c>
      <c r="K231">
        <v>8</v>
      </c>
      <c r="L231" t="s">
        <v>1036</v>
      </c>
      <c r="M231" t="s">
        <v>1031</v>
      </c>
      <c r="N231">
        <v>2018</v>
      </c>
      <c r="O231" t="s">
        <v>1029</v>
      </c>
      <c r="P231">
        <v>2</v>
      </c>
    </row>
    <row r="232" spans="1:16" x14ac:dyDescent="0.3">
      <c r="A232" s="2" t="s">
        <v>485</v>
      </c>
      <c r="B232" s="2" t="s">
        <v>486</v>
      </c>
      <c r="C232" s="2" t="s">
        <v>17</v>
      </c>
      <c r="D232">
        <v>38</v>
      </c>
      <c r="E232" s="2" t="s">
        <v>30</v>
      </c>
      <c r="F232" s="2" t="s">
        <v>31</v>
      </c>
      <c r="G232">
        <v>159783</v>
      </c>
      <c r="H232" s="2" t="s">
        <v>14</v>
      </c>
      <c r="I232" s="3">
        <v>44937</v>
      </c>
      <c r="J232" t="s">
        <v>1029</v>
      </c>
      <c r="K232">
        <v>3</v>
      </c>
      <c r="L232" t="s">
        <v>1030</v>
      </c>
      <c r="M232" t="s">
        <v>1031</v>
      </c>
      <c r="N232">
        <v>2023</v>
      </c>
      <c r="O232" t="s">
        <v>1029</v>
      </c>
      <c r="P232">
        <v>2</v>
      </c>
    </row>
    <row r="233" spans="1:16" x14ac:dyDescent="0.3">
      <c r="A233" s="2" t="s">
        <v>487</v>
      </c>
      <c r="B233" s="2" t="s">
        <v>488</v>
      </c>
      <c r="C233" s="2" t="s">
        <v>17</v>
      </c>
      <c r="D233">
        <v>74</v>
      </c>
      <c r="E233" s="2" t="s">
        <v>18</v>
      </c>
      <c r="F233" s="2" t="s">
        <v>13</v>
      </c>
      <c r="G233">
        <v>102970</v>
      </c>
      <c r="H233" s="2" t="s">
        <v>20</v>
      </c>
      <c r="I233" s="3">
        <v>43335</v>
      </c>
      <c r="J233" t="s">
        <v>1038</v>
      </c>
      <c r="K233">
        <v>7</v>
      </c>
      <c r="L233" t="s">
        <v>1033</v>
      </c>
      <c r="M233" t="s">
        <v>1034</v>
      </c>
      <c r="N233">
        <v>2018</v>
      </c>
      <c r="O233" t="s">
        <v>1038</v>
      </c>
      <c r="P233">
        <v>4</v>
      </c>
    </row>
    <row r="234" spans="1:16" x14ac:dyDescent="0.3">
      <c r="A234" s="2" t="s">
        <v>489</v>
      </c>
      <c r="B234" s="2" t="s">
        <v>490</v>
      </c>
      <c r="C234" s="2" t="s">
        <v>17</v>
      </c>
      <c r="D234">
        <v>53</v>
      </c>
      <c r="E234" s="2" t="s">
        <v>34</v>
      </c>
      <c r="F234" s="2" t="s">
        <v>31</v>
      </c>
      <c r="G234">
        <v>105553</v>
      </c>
      <c r="H234" s="2" t="s">
        <v>14</v>
      </c>
      <c r="I234" s="3">
        <v>42932</v>
      </c>
      <c r="J234" t="s">
        <v>1032</v>
      </c>
      <c r="K234">
        <v>8</v>
      </c>
      <c r="L234" t="s">
        <v>1036</v>
      </c>
      <c r="M234" t="s">
        <v>1034</v>
      </c>
      <c r="N234">
        <v>2017</v>
      </c>
      <c r="O234" t="s">
        <v>1032</v>
      </c>
      <c r="P234">
        <v>3</v>
      </c>
    </row>
    <row r="235" spans="1:16" x14ac:dyDescent="0.3">
      <c r="A235" s="2" t="s">
        <v>491</v>
      </c>
      <c r="B235" s="2" t="s">
        <v>492</v>
      </c>
      <c r="C235" s="2" t="s">
        <v>17</v>
      </c>
      <c r="D235">
        <v>27</v>
      </c>
      <c r="E235" s="2" t="s">
        <v>12</v>
      </c>
      <c r="F235" s="2" t="s">
        <v>42</v>
      </c>
      <c r="G235">
        <v>181779</v>
      </c>
      <c r="H235" s="2" t="s">
        <v>20</v>
      </c>
      <c r="I235" s="3">
        <v>42976</v>
      </c>
      <c r="J235" t="s">
        <v>1035</v>
      </c>
      <c r="K235">
        <v>8</v>
      </c>
      <c r="L235" t="s">
        <v>1036</v>
      </c>
      <c r="M235" t="s">
        <v>1031</v>
      </c>
      <c r="N235">
        <v>2017</v>
      </c>
      <c r="O235" t="s">
        <v>1035</v>
      </c>
      <c r="P235">
        <v>1</v>
      </c>
    </row>
    <row r="236" spans="1:16" x14ac:dyDescent="0.3">
      <c r="A236" s="2" t="s">
        <v>493</v>
      </c>
      <c r="B236" s="2" t="s">
        <v>494</v>
      </c>
      <c r="C236" s="2" t="s">
        <v>17</v>
      </c>
      <c r="D236">
        <v>54</v>
      </c>
      <c r="E236" s="2" t="s">
        <v>12</v>
      </c>
      <c r="F236" s="2" t="s">
        <v>37</v>
      </c>
      <c r="G236">
        <v>190182</v>
      </c>
      <c r="H236" s="2" t="s">
        <v>20</v>
      </c>
      <c r="I236" s="3">
        <v>45033</v>
      </c>
      <c r="J236" t="s">
        <v>1032</v>
      </c>
      <c r="K236">
        <v>3</v>
      </c>
      <c r="L236" t="s">
        <v>1030</v>
      </c>
      <c r="M236" t="s">
        <v>1031</v>
      </c>
      <c r="N236">
        <v>2023</v>
      </c>
      <c r="O236" t="s">
        <v>1032</v>
      </c>
      <c r="P236">
        <v>3</v>
      </c>
    </row>
    <row r="237" spans="1:16" x14ac:dyDescent="0.3">
      <c r="A237" s="2" t="s">
        <v>495</v>
      </c>
      <c r="B237" s="2" t="s">
        <v>496</v>
      </c>
      <c r="C237" s="2" t="s">
        <v>17</v>
      </c>
      <c r="D237">
        <v>26</v>
      </c>
      <c r="E237" s="2" t="s">
        <v>34</v>
      </c>
      <c r="F237" s="2" t="s">
        <v>23</v>
      </c>
      <c r="G237">
        <v>102879</v>
      </c>
      <c r="H237" s="2" t="s">
        <v>20</v>
      </c>
      <c r="I237" s="3">
        <v>42866</v>
      </c>
      <c r="J237" t="s">
        <v>1035</v>
      </c>
      <c r="K237">
        <v>9</v>
      </c>
      <c r="L237" t="s">
        <v>1036</v>
      </c>
      <c r="M237" t="s">
        <v>1034</v>
      </c>
      <c r="N237">
        <v>2017</v>
      </c>
      <c r="O237" t="s">
        <v>1035</v>
      </c>
      <c r="P237">
        <v>1</v>
      </c>
    </row>
    <row r="238" spans="1:16" x14ac:dyDescent="0.3">
      <c r="A238" s="2" t="s">
        <v>497</v>
      </c>
      <c r="B238" s="2" t="s">
        <v>498</v>
      </c>
      <c r="C238" s="2" t="s">
        <v>17</v>
      </c>
      <c r="D238">
        <v>41</v>
      </c>
      <c r="E238" s="2" t="s">
        <v>30</v>
      </c>
      <c r="F238" s="2" t="s">
        <v>13</v>
      </c>
      <c r="G238">
        <v>189899</v>
      </c>
      <c r="H238" s="2" t="s">
        <v>20</v>
      </c>
      <c r="I238" s="3">
        <v>45579</v>
      </c>
      <c r="J238" t="s">
        <v>1029</v>
      </c>
      <c r="K238">
        <v>1</v>
      </c>
      <c r="L238" t="s">
        <v>1039</v>
      </c>
      <c r="M238" t="s">
        <v>1031</v>
      </c>
      <c r="N238">
        <v>2024</v>
      </c>
      <c r="O238" t="s">
        <v>1029</v>
      </c>
      <c r="P238">
        <v>2</v>
      </c>
    </row>
    <row r="239" spans="1:16" x14ac:dyDescent="0.3">
      <c r="A239" s="2" t="s">
        <v>499</v>
      </c>
      <c r="B239" s="2" t="s">
        <v>500</v>
      </c>
      <c r="C239" s="2" t="s">
        <v>17</v>
      </c>
      <c r="D239">
        <v>52</v>
      </c>
      <c r="E239" s="2" t="s">
        <v>34</v>
      </c>
      <c r="F239" s="2" t="s">
        <v>37</v>
      </c>
      <c r="G239">
        <v>156727</v>
      </c>
      <c r="H239" s="2" t="s">
        <v>14</v>
      </c>
      <c r="I239" s="3">
        <v>44108</v>
      </c>
      <c r="J239" t="s">
        <v>1032</v>
      </c>
      <c r="K239">
        <v>5</v>
      </c>
      <c r="L239" t="s">
        <v>1033</v>
      </c>
      <c r="M239" t="s">
        <v>1031</v>
      </c>
      <c r="N239">
        <v>2020</v>
      </c>
      <c r="O239" t="s">
        <v>1032</v>
      </c>
      <c r="P239">
        <v>3</v>
      </c>
    </row>
    <row r="240" spans="1:16" x14ac:dyDescent="0.3">
      <c r="A240" s="2" t="s">
        <v>501</v>
      </c>
      <c r="B240" s="2" t="s">
        <v>502</v>
      </c>
      <c r="C240" s="2" t="s">
        <v>11</v>
      </c>
      <c r="D240">
        <v>66</v>
      </c>
      <c r="E240" s="2" t="s">
        <v>30</v>
      </c>
      <c r="F240" s="2" t="s">
        <v>31</v>
      </c>
      <c r="G240">
        <v>64859</v>
      </c>
      <c r="H240" s="2" t="s">
        <v>14</v>
      </c>
      <c r="I240" s="3">
        <v>45601</v>
      </c>
      <c r="J240" t="s">
        <v>1038</v>
      </c>
      <c r="K240">
        <v>1</v>
      </c>
      <c r="L240" t="s">
        <v>1039</v>
      </c>
      <c r="M240" t="s">
        <v>1037</v>
      </c>
      <c r="N240">
        <v>2024</v>
      </c>
      <c r="O240" t="s">
        <v>1038</v>
      </c>
      <c r="P240">
        <v>4</v>
      </c>
    </row>
    <row r="241" spans="1:16" x14ac:dyDescent="0.3">
      <c r="A241" s="2" t="s">
        <v>503</v>
      </c>
      <c r="B241" s="2" t="s">
        <v>504</v>
      </c>
      <c r="C241" s="2" t="s">
        <v>17</v>
      </c>
      <c r="D241">
        <v>52</v>
      </c>
      <c r="E241" s="2" t="s">
        <v>34</v>
      </c>
      <c r="F241" s="2" t="s">
        <v>37</v>
      </c>
      <c r="G241">
        <v>72098</v>
      </c>
      <c r="H241" s="2" t="s">
        <v>14</v>
      </c>
      <c r="I241" s="3">
        <v>44544</v>
      </c>
      <c r="J241" t="s">
        <v>1032</v>
      </c>
      <c r="K241">
        <v>4</v>
      </c>
      <c r="L241" t="s">
        <v>1033</v>
      </c>
      <c r="M241" t="s">
        <v>1037</v>
      </c>
      <c r="N241">
        <v>2021</v>
      </c>
      <c r="O241" t="s">
        <v>1032</v>
      </c>
      <c r="P241">
        <v>3</v>
      </c>
    </row>
    <row r="242" spans="1:16" x14ac:dyDescent="0.3">
      <c r="A242" s="2" t="s">
        <v>505</v>
      </c>
      <c r="B242" s="2" t="s">
        <v>506</v>
      </c>
      <c r="C242" s="2" t="s">
        <v>17</v>
      </c>
      <c r="D242">
        <v>65</v>
      </c>
      <c r="E242" s="2" t="s">
        <v>18</v>
      </c>
      <c r="F242" s="2" t="s">
        <v>23</v>
      </c>
      <c r="G242">
        <v>166323</v>
      </c>
      <c r="H242" s="2" t="s">
        <v>14</v>
      </c>
      <c r="I242" s="3">
        <v>45420</v>
      </c>
      <c r="J242" t="s">
        <v>1038</v>
      </c>
      <c r="K242">
        <v>2</v>
      </c>
      <c r="L242" t="s">
        <v>1030</v>
      </c>
      <c r="M242" t="s">
        <v>1031</v>
      </c>
      <c r="N242">
        <v>2024</v>
      </c>
      <c r="O242" t="s">
        <v>1038</v>
      </c>
      <c r="P242">
        <v>4</v>
      </c>
    </row>
    <row r="243" spans="1:16" x14ac:dyDescent="0.3">
      <c r="A243" s="2" t="s">
        <v>507</v>
      </c>
      <c r="B243" s="2" t="s">
        <v>508</v>
      </c>
      <c r="C243" s="2" t="s">
        <v>11</v>
      </c>
      <c r="D243">
        <v>53</v>
      </c>
      <c r="E243" s="2" t="s">
        <v>30</v>
      </c>
      <c r="F243" s="2" t="s">
        <v>27</v>
      </c>
      <c r="G243">
        <v>142413</v>
      </c>
      <c r="H243" s="2" t="s">
        <v>20</v>
      </c>
      <c r="I243" s="3">
        <v>44622</v>
      </c>
      <c r="J243" t="s">
        <v>1032</v>
      </c>
      <c r="K243">
        <v>4</v>
      </c>
      <c r="L243" t="s">
        <v>1033</v>
      </c>
      <c r="M243" t="s">
        <v>1034</v>
      </c>
      <c r="N243">
        <v>2022</v>
      </c>
      <c r="O243" t="s">
        <v>1032</v>
      </c>
      <c r="P243">
        <v>3</v>
      </c>
    </row>
    <row r="244" spans="1:16" x14ac:dyDescent="0.3">
      <c r="A244" s="2" t="s">
        <v>509</v>
      </c>
      <c r="B244" s="2" t="s">
        <v>510</v>
      </c>
      <c r="C244" s="2" t="s">
        <v>17</v>
      </c>
      <c r="D244">
        <v>35</v>
      </c>
      <c r="E244" s="2" t="s">
        <v>18</v>
      </c>
      <c r="F244" s="2" t="s">
        <v>37</v>
      </c>
      <c r="G244">
        <v>20526</v>
      </c>
      <c r="H244" s="2" t="s">
        <v>14</v>
      </c>
      <c r="I244" s="3">
        <v>43688</v>
      </c>
      <c r="J244" t="s">
        <v>1029</v>
      </c>
      <c r="K244">
        <v>6</v>
      </c>
      <c r="L244" t="s">
        <v>1033</v>
      </c>
      <c r="M244" t="s">
        <v>1037</v>
      </c>
      <c r="N244">
        <v>2019</v>
      </c>
      <c r="O244" t="s">
        <v>1029</v>
      </c>
      <c r="P244">
        <v>2</v>
      </c>
    </row>
    <row r="245" spans="1:16" x14ac:dyDescent="0.3">
      <c r="A245" s="2" t="s">
        <v>511</v>
      </c>
      <c r="B245" s="2" t="s">
        <v>512</v>
      </c>
      <c r="C245" s="2" t="s">
        <v>11</v>
      </c>
      <c r="D245">
        <v>66</v>
      </c>
      <c r="E245" s="2" t="s">
        <v>12</v>
      </c>
      <c r="F245" s="2" t="s">
        <v>42</v>
      </c>
      <c r="G245">
        <v>88760</v>
      </c>
      <c r="H245" s="2" t="s">
        <v>24</v>
      </c>
      <c r="I245" s="3">
        <v>44922</v>
      </c>
      <c r="J245" t="s">
        <v>1038</v>
      </c>
      <c r="K245">
        <v>3</v>
      </c>
      <c r="L245" t="s">
        <v>1030</v>
      </c>
      <c r="M245" t="s">
        <v>1037</v>
      </c>
      <c r="N245">
        <v>2022</v>
      </c>
      <c r="O245" t="s">
        <v>1038</v>
      </c>
      <c r="P245">
        <v>4</v>
      </c>
    </row>
    <row r="246" spans="1:16" x14ac:dyDescent="0.3">
      <c r="A246" s="2" t="s">
        <v>513</v>
      </c>
      <c r="B246" s="2" t="s">
        <v>514</v>
      </c>
      <c r="C246" s="2" t="s">
        <v>11</v>
      </c>
      <c r="D246">
        <v>56</v>
      </c>
      <c r="E246" s="2" t="s">
        <v>34</v>
      </c>
      <c r="F246" s="2" t="s">
        <v>37</v>
      </c>
      <c r="G246">
        <v>67837</v>
      </c>
      <c r="H246" s="2" t="s">
        <v>20</v>
      </c>
      <c r="I246" s="3">
        <v>43395</v>
      </c>
      <c r="J246" t="s">
        <v>1032</v>
      </c>
      <c r="K246">
        <v>7</v>
      </c>
      <c r="L246" t="s">
        <v>1033</v>
      </c>
      <c r="M246" t="s">
        <v>1037</v>
      </c>
      <c r="N246">
        <v>2018</v>
      </c>
      <c r="O246" t="s">
        <v>1032</v>
      </c>
      <c r="P246">
        <v>3</v>
      </c>
    </row>
    <row r="247" spans="1:16" x14ac:dyDescent="0.3">
      <c r="A247" s="2" t="s">
        <v>515</v>
      </c>
      <c r="B247" s="2" t="s">
        <v>516</v>
      </c>
      <c r="C247" s="2" t="s">
        <v>17</v>
      </c>
      <c r="D247">
        <v>49</v>
      </c>
      <c r="E247" s="2" t="s">
        <v>12</v>
      </c>
      <c r="F247" s="2" t="s">
        <v>31</v>
      </c>
      <c r="G247">
        <v>31536</v>
      </c>
      <c r="H247" s="2" t="s">
        <v>20</v>
      </c>
      <c r="I247" s="3">
        <v>43113</v>
      </c>
      <c r="J247" t="s">
        <v>1032</v>
      </c>
      <c r="K247">
        <v>8</v>
      </c>
      <c r="L247" t="s">
        <v>1036</v>
      </c>
      <c r="M247" t="s">
        <v>1037</v>
      </c>
      <c r="N247">
        <v>2018</v>
      </c>
      <c r="O247" t="s">
        <v>1032</v>
      </c>
      <c r="P247">
        <v>3</v>
      </c>
    </row>
    <row r="248" spans="1:16" x14ac:dyDescent="0.3">
      <c r="A248" s="2" t="s">
        <v>517</v>
      </c>
      <c r="B248" s="2" t="s">
        <v>518</v>
      </c>
      <c r="C248" s="2" t="s">
        <v>11</v>
      </c>
      <c r="D248">
        <v>41</v>
      </c>
      <c r="E248" s="2" t="s">
        <v>12</v>
      </c>
      <c r="F248" s="2" t="s">
        <v>31</v>
      </c>
      <c r="G248">
        <v>48541</v>
      </c>
      <c r="H248" s="2" t="s">
        <v>14</v>
      </c>
      <c r="I248" s="3">
        <v>44257</v>
      </c>
      <c r="J248" t="s">
        <v>1029</v>
      </c>
      <c r="K248">
        <v>5</v>
      </c>
      <c r="L248" t="s">
        <v>1033</v>
      </c>
      <c r="M248" t="s">
        <v>1037</v>
      </c>
      <c r="N248">
        <v>2021</v>
      </c>
      <c r="O248" t="s">
        <v>1029</v>
      </c>
      <c r="P248">
        <v>2</v>
      </c>
    </row>
    <row r="249" spans="1:16" x14ac:dyDescent="0.3">
      <c r="A249" s="2" t="s">
        <v>519</v>
      </c>
      <c r="B249" s="2" t="s">
        <v>520</v>
      </c>
      <c r="C249" s="2" t="s">
        <v>11</v>
      </c>
      <c r="D249">
        <v>40</v>
      </c>
      <c r="E249" s="2" t="s">
        <v>12</v>
      </c>
      <c r="F249" s="2" t="s">
        <v>13</v>
      </c>
      <c r="G249">
        <v>99083</v>
      </c>
      <c r="H249" s="2" t="s">
        <v>20</v>
      </c>
      <c r="I249" s="3">
        <v>45179</v>
      </c>
      <c r="J249" t="s">
        <v>1029</v>
      </c>
      <c r="K249">
        <v>2</v>
      </c>
      <c r="L249" t="s">
        <v>1030</v>
      </c>
      <c r="M249" t="s">
        <v>1037</v>
      </c>
      <c r="N249">
        <v>2023</v>
      </c>
      <c r="O249" t="s">
        <v>1029</v>
      </c>
      <c r="P249">
        <v>2</v>
      </c>
    </row>
    <row r="250" spans="1:16" x14ac:dyDescent="0.3">
      <c r="A250" s="2" t="s">
        <v>521</v>
      </c>
      <c r="B250" s="2" t="s">
        <v>522</v>
      </c>
      <c r="C250" s="2" t="s">
        <v>11</v>
      </c>
      <c r="D250">
        <v>49</v>
      </c>
      <c r="E250" s="2" t="s">
        <v>12</v>
      </c>
      <c r="F250" s="2" t="s">
        <v>31</v>
      </c>
      <c r="G250">
        <v>54531</v>
      </c>
      <c r="H250" s="2" t="s">
        <v>24</v>
      </c>
      <c r="I250" s="3">
        <v>44203</v>
      </c>
      <c r="J250" t="s">
        <v>1032</v>
      </c>
      <c r="K250">
        <v>5</v>
      </c>
      <c r="L250" t="s">
        <v>1033</v>
      </c>
      <c r="M250" t="s">
        <v>1037</v>
      </c>
      <c r="N250">
        <v>2021</v>
      </c>
      <c r="O250" t="s">
        <v>1032</v>
      </c>
      <c r="P250">
        <v>3</v>
      </c>
    </row>
    <row r="251" spans="1:16" x14ac:dyDescent="0.3">
      <c r="A251" s="2" t="s">
        <v>523</v>
      </c>
      <c r="B251" s="2" t="s">
        <v>524</v>
      </c>
      <c r="C251" s="2" t="s">
        <v>11</v>
      </c>
      <c r="D251">
        <v>54</v>
      </c>
      <c r="E251" s="2" t="s">
        <v>34</v>
      </c>
      <c r="F251" s="2" t="s">
        <v>19</v>
      </c>
      <c r="G251">
        <v>28712</v>
      </c>
      <c r="H251" s="2" t="s">
        <v>14</v>
      </c>
      <c r="I251" s="3">
        <v>43294</v>
      </c>
      <c r="J251" t="s">
        <v>1032</v>
      </c>
      <c r="K251">
        <v>7</v>
      </c>
      <c r="L251" t="s">
        <v>1033</v>
      </c>
      <c r="M251" t="s">
        <v>1037</v>
      </c>
      <c r="N251">
        <v>2018</v>
      </c>
      <c r="O251" t="s">
        <v>1032</v>
      </c>
      <c r="P251">
        <v>3</v>
      </c>
    </row>
    <row r="252" spans="1:16" x14ac:dyDescent="0.3">
      <c r="A252" s="2" t="s">
        <v>525</v>
      </c>
      <c r="B252" s="2" t="s">
        <v>526</v>
      </c>
      <c r="C252" s="2" t="s">
        <v>17</v>
      </c>
      <c r="D252">
        <v>29</v>
      </c>
      <c r="E252" s="2" t="s">
        <v>12</v>
      </c>
      <c r="F252" s="2" t="s">
        <v>23</v>
      </c>
      <c r="G252">
        <v>124101</v>
      </c>
      <c r="H252" s="2" t="s">
        <v>20</v>
      </c>
      <c r="I252" s="3">
        <v>45422</v>
      </c>
      <c r="J252" t="s">
        <v>1029</v>
      </c>
      <c r="K252">
        <v>2</v>
      </c>
      <c r="L252" t="s">
        <v>1030</v>
      </c>
      <c r="M252" t="s">
        <v>1034</v>
      </c>
      <c r="N252">
        <v>2024</v>
      </c>
      <c r="O252" t="s">
        <v>1029</v>
      </c>
      <c r="P252">
        <v>2</v>
      </c>
    </row>
    <row r="253" spans="1:16" x14ac:dyDescent="0.3">
      <c r="A253" s="2" t="s">
        <v>527</v>
      </c>
      <c r="B253" s="2" t="s">
        <v>528</v>
      </c>
      <c r="C253" s="2" t="s">
        <v>11</v>
      </c>
      <c r="D253">
        <v>66</v>
      </c>
      <c r="E253" s="2" t="s">
        <v>34</v>
      </c>
      <c r="F253" s="2" t="s">
        <v>23</v>
      </c>
      <c r="G253">
        <v>85455</v>
      </c>
      <c r="H253" s="2" t="s">
        <v>20</v>
      </c>
      <c r="I253" s="3">
        <v>45078</v>
      </c>
      <c r="J253" t="s">
        <v>1038</v>
      </c>
      <c r="K253">
        <v>3</v>
      </c>
      <c r="L253" t="s">
        <v>1030</v>
      </c>
      <c r="M253" t="s">
        <v>1037</v>
      </c>
      <c r="N253">
        <v>2023</v>
      </c>
      <c r="O253" t="s">
        <v>1038</v>
      </c>
      <c r="P253">
        <v>4</v>
      </c>
    </row>
    <row r="254" spans="1:16" x14ac:dyDescent="0.3">
      <c r="A254" s="2" t="s">
        <v>529</v>
      </c>
      <c r="B254" s="2" t="s">
        <v>530</v>
      </c>
      <c r="C254" s="2" t="s">
        <v>17</v>
      </c>
      <c r="D254">
        <v>72</v>
      </c>
      <c r="E254" s="2" t="s">
        <v>34</v>
      </c>
      <c r="F254" s="2" t="s">
        <v>27</v>
      </c>
      <c r="G254">
        <v>94744</v>
      </c>
      <c r="H254" s="2" t="s">
        <v>14</v>
      </c>
      <c r="I254" s="3">
        <v>43323</v>
      </c>
      <c r="J254" t="s">
        <v>1038</v>
      </c>
      <c r="K254">
        <v>7</v>
      </c>
      <c r="L254" t="s">
        <v>1033</v>
      </c>
      <c r="M254" t="s">
        <v>1037</v>
      </c>
      <c r="N254">
        <v>2018</v>
      </c>
      <c r="O254" t="s">
        <v>1038</v>
      </c>
      <c r="P254">
        <v>4</v>
      </c>
    </row>
    <row r="255" spans="1:16" x14ac:dyDescent="0.3">
      <c r="A255" s="2" t="s">
        <v>531</v>
      </c>
      <c r="B255" s="2" t="s">
        <v>532</v>
      </c>
      <c r="C255" s="2" t="s">
        <v>11</v>
      </c>
      <c r="D255">
        <v>30</v>
      </c>
      <c r="E255" s="2" t="s">
        <v>18</v>
      </c>
      <c r="F255" s="2" t="s">
        <v>27</v>
      </c>
      <c r="G255">
        <v>149749</v>
      </c>
      <c r="H255" s="2" t="s">
        <v>14</v>
      </c>
      <c r="I255" s="3">
        <v>42930</v>
      </c>
      <c r="J255" t="s">
        <v>1029</v>
      </c>
      <c r="K255">
        <v>8</v>
      </c>
      <c r="L255" t="s">
        <v>1036</v>
      </c>
      <c r="M255" t="s">
        <v>1034</v>
      </c>
      <c r="N255">
        <v>2017</v>
      </c>
      <c r="O255" t="s">
        <v>1029</v>
      </c>
      <c r="P255">
        <v>2</v>
      </c>
    </row>
    <row r="256" spans="1:16" x14ac:dyDescent="0.3">
      <c r="A256" s="2" t="s">
        <v>533</v>
      </c>
      <c r="B256" s="2" t="s">
        <v>534</v>
      </c>
      <c r="C256" s="2" t="s">
        <v>11</v>
      </c>
      <c r="D256">
        <v>40</v>
      </c>
      <c r="E256" s="2" t="s">
        <v>30</v>
      </c>
      <c r="F256" s="2" t="s">
        <v>23</v>
      </c>
      <c r="G256">
        <v>25109</v>
      </c>
      <c r="H256" s="2" t="s">
        <v>14</v>
      </c>
      <c r="I256" s="3">
        <v>42673</v>
      </c>
      <c r="J256" t="s">
        <v>1029</v>
      </c>
      <c r="K256">
        <v>9</v>
      </c>
      <c r="L256" t="s">
        <v>1036</v>
      </c>
      <c r="M256" t="s">
        <v>1037</v>
      </c>
      <c r="N256">
        <v>2016</v>
      </c>
      <c r="O256" t="s">
        <v>1029</v>
      </c>
      <c r="P256">
        <v>2</v>
      </c>
    </row>
    <row r="257" spans="1:16" x14ac:dyDescent="0.3">
      <c r="A257" s="2" t="s">
        <v>535</v>
      </c>
      <c r="B257" s="2" t="s">
        <v>536</v>
      </c>
      <c r="C257" s="2" t="s">
        <v>11</v>
      </c>
      <c r="D257">
        <v>42</v>
      </c>
      <c r="E257" s="2" t="s">
        <v>30</v>
      </c>
      <c r="F257" s="2" t="s">
        <v>42</v>
      </c>
      <c r="G257">
        <v>69268</v>
      </c>
      <c r="H257" s="2" t="s">
        <v>14</v>
      </c>
      <c r="I257" s="3">
        <v>44081</v>
      </c>
      <c r="J257" t="s">
        <v>1029</v>
      </c>
      <c r="K257">
        <v>5</v>
      </c>
      <c r="L257" t="s">
        <v>1033</v>
      </c>
      <c r="M257" t="s">
        <v>1037</v>
      </c>
      <c r="N257">
        <v>2020</v>
      </c>
      <c r="O257" t="s">
        <v>1029</v>
      </c>
      <c r="P257">
        <v>2</v>
      </c>
    </row>
    <row r="258" spans="1:16" x14ac:dyDescent="0.3">
      <c r="A258" s="2" t="s">
        <v>537</v>
      </c>
      <c r="B258" s="2" t="s">
        <v>538</v>
      </c>
      <c r="C258" s="2" t="s">
        <v>11</v>
      </c>
      <c r="D258">
        <v>52</v>
      </c>
      <c r="E258" s="2" t="s">
        <v>34</v>
      </c>
      <c r="F258" s="2" t="s">
        <v>27</v>
      </c>
      <c r="G258">
        <v>74615</v>
      </c>
      <c r="H258" s="2" t="s">
        <v>14</v>
      </c>
      <c r="I258" s="3">
        <v>42953</v>
      </c>
      <c r="J258" t="s">
        <v>1032</v>
      </c>
      <c r="K258">
        <v>8</v>
      </c>
      <c r="L258" t="s">
        <v>1036</v>
      </c>
      <c r="M258" t="s">
        <v>1037</v>
      </c>
      <c r="N258">
        <v>2017</v>
      </c>
      <c r="O258" t="s">
        <v>1032</v>
      </c>
      <c r="P258">
        <v>3</v>
      </c>
    </row>
    <row r="259" spans="1:16" x14ac:dyDescent="0.3">
      <c r="A259" s="2" t="s">
        <v>539</v>
      </c>
      <c r="B259" s="2" t="s">
        <v>540</v>
      </c>
      <c r="C259" s="2" t="s">
        <v>17</v>
      </c>
      <c r="D259">
        <v>58</v>
      </c>
      <c r="E259" s="2" t="s">
        <v>18</v>
      </c>
      <c r="F259" s="2" t="s">
        <v>13</v>
      </c>
      <c r="G259">
        <v>102503</v>
      </c>
      <c r="H259" s="2" t="s">
        <v>14</v>
      </c>
      <c r="I259" s="3">
        <v>45819</v>
      </c>
      <c r="J259" t="s">
        <v>1032</v>
      </c>
      <c r="K259">
        <v>1</v>
      </c>
      <c r="L259" t="s">
        <v>1039</v>
      </c>
      <c r="M259" t="s">
        <v>1034</v>
      </c>
      <c r="N259">
        <v>2025</v>
      </c>
      <c r="O259" t="s">
        <v>1032</v>
      </c>
      <c r="P259">
        <v>3</v>
      </c>
    </row>
    <row r="260" spans="1:16" x14ac:dyDescent="0.3">
      <c r="A260" s="2" t="s">
        <v>541</v>
      </c>
      <c r="B260" s="2" t="s">
        <v>542</v>
      </c>
      <c r="C260" s="2" t="s">
        <v>17</v>
      </c>
      <c r="D260">
        <v>47</v>
      </c>
      <c r="E260" s="2" t="s">
        <v>34</v>
      </c>
      <c r="F260" s="2" t="s">
        <v>31</v>
      </c>
      <c r="G260">
        <v>180831</v>
      </c>
      <c r="H260" s="2" t="s">
        <v>14</v>
      </c>
      <c r="I260" s="3">
        <v>44115</v>
      </c>
      <c r="J260" t="s">
        <v>1032</v>
      </c>
      <c r="K260">
        <v>5</v>
      </c>
      <c r="L260" t="s">
        <v>1033</v>
      </c>
      <c r="M260" t="s">
        <v>1031</v>
      </c>
      <c r="N260">
        <v>2020</v>
      </c>
      <c r="O260" t="s">
        <v>1032</v>
      </c>
      <c r="P260">
        <v>3</v>
      </c>
    </row>
    <row r="261" spans="1:16" x14ac:dyDescent="0.3">
      <c r="A261" s="2" t="s">
        <v>543</v>
      </c>
      <c r="B261" s="2" t="s">
        <v>544</v>
      </c>
      <c r="C261" s="2" t="s">
        <v>11</v>
      </c>
      <c r="D261">
        <v>34</v>
      </c>
      <c r="E261" s="2" t="s">
        <v>34</v>
      </c>
      <c r="F261" s="2" t="s">
        <v>23</v>
      </c>
      <c r="G261">
        <v>105708</v>
      </c>
      <c r="H261" s="2" t="s">
        <v>14</v>
      </c>
      <c r="I261" s="3">
        <v>44588</v>
      </c>
      <c r="J261" t="s">
        <v>1029</v>
      </c>
      <c r="K261">
        <v>4</v>
      </c>
      <c r="L261" t="s">
        <v>1033</v>
      </c>
      <c r="M261" t="s">
        <v>1034</v>
      </c>
      <c r="N261">
        <v>2022</v>
      </c>
      <c r="O261" t="s">
        <v>1029</v>
      </c>
      <c r="P261">
        <v>2</v>
      </c>
    </row>
    <row r="262" spans="1:16" x14ac:dyDescent="0.3">
      <c r="A262" s="2" t="s">
        <v>545</v>
      </c>
      <c r="B262" s="2" t="s">
        <v>546</v>
      </c>
      <c r="C262" s="2" t="s">
        <v>11</v>
      </c>
      <c r="D262">
        <v>66</v>
      </c>
      <c r="E262" s="2" t="s">
        <v>34</v>
      </c>
      <c r="F262" s="2" t="s">
        <v>27</v>
      </c>
      <c r="G262">
        <v>122471</v>
      </c>
      <c r="H262" s="2" t="s">
        <v>24</v>
      </c>
      <c r="I262" s="3">
        <v>43744</v>
      </c>
      <c r="J262" t="s">
        <v>1038</v>
      </c>
      <c r="K262">
        <v>6</v>
      </c>
      <c r="L262" t="s">
        <v>1033</v>
      </c>
      <c r="M262" t="s">
        <v>1034</v>
      </c>
      <c r="N262">
        <v>2019</v>
      </c>
      <c r="O262" t="s">
        <v>1038</v>
      </c>
      <c r="P262">
        <v>4</v>
      </c>
    </row>
    <row r="263" spans="1:16" x14ac:dyDescent="0.3">
      <c r="A263" s="2" t="s">
        <v>547</v>
      </c>
      <c r="B263" s="2" t="s">
        <v>548</v>
      </c>
      <c r="C263" s="2" t="s">
        <v>17</v>
      </c>
      <c r="D263">
        <v>37</v>
      </c>
      <c r="E263" s="2" t="s">
        <v>18</v>
      </c>
      <c r="F263" s="2" t="s">
        <v>23</v>
      </c>
      <c r="G263">
        <v>177661</v>
      </c>
      <c r="H263" s="2" t="s">
        <v>14</v>
      </c>
      <c r="I263" s="3">
        <v>45516</v>
      </c>
      <c r="J263" t="s">
        <v>1029</v>
      </c>
      <c r="K263">
        <v>1</v>
      </c>
      <c r="L263" t="s">
        <v>1039</v>
      </c>
      <c r="M263" t="s">
        <v>1031</v>
      </c>
      <c r="N263">
        <v>2024</v>
      </c>
      <c r="O263" t="s">
        <v>1029</v>
      </c>
      <c r="P263">
        <v>2</v>
      </c>
    </row>
    <row r="264" spans="1:16" x14ac:dyDescent="0.3">
      <c r="A264" s="2" t="s">
        <v>549</v>
      </c>
      <c r="B264" s="2" t="s">
        <v>550</v>
      </c>
      <c r="C264" s="2" t="s">
        <v>11</v>
      </c>
      <c r="D264">
        <v>65</v>
      </c>
      <c r="E264" s="2" t="s">
        <v>30</v>
      </c>
      <c r="F264" s="2" t="s">
        <v>19</v>
      </c>
      <c r="G264">
        <v>181087</v>
      </c>
      <c r="H264" s="2" t="s">
        <v>24</v>
      </c>
      <c r="I264" s="3">
        <v>43829</v>
      </c>
      <c r="J264" t="s">
        <v>1038</v>
      </c>
      <c r="K264">
        <v>6</v>
      </c>
      <c r="L264" t="s">
        <v>1033</v>
      </c>
      <c r="M264" t="s">
        <v>1031</v>
      </c>
      <c r="N264">
        <v>2019</v>
      </c>
      <c r="O264" t="s">
        <v>1038</v>
      </c>
      <c r="P264">
        <v>4</v>
      </c>
    </row>
    <row r="265" spans="1:16" x14ac:dyDescent="0.3">
      <c r="A265" s="2" t="s">
        <v>551</v>
      </c>
      <c r="B265" s="2" t="s">
        <v>552</v>
      </c>
      <c r="C265" s="2" t="s">
        <v>11</v>
      </c>
      <c r="D265">
        <v>42</v>
      </c>
      <c r="E265" s="2" t="s">
        <v>18</v>
      </c>
      <c r="F265" s="2" t="s">
        <v>37</v>
      </c>
      <c r="G265">
        <v>180081</v>
      </c>
      <c r="H265" s="2" t="s">
        <v>14</v>
      </c>
      <c r="I265" s="3">
        <v>42297</v>
      </c>
      <c r="J265" t="s">
        <v>1029</v>
      </c>
      <c r="K265">
        <v>10</v>
      </c>
      <c r="L265" t="s">
        <v>1036</v>
      </c>
      <c r="M265" t="s">
        <v>1031</v>
      </c>
      <c r="N265">
        <v>2015</v>
      </c>
      <c r="O265" t="s">
        <v>1029</v>
      </c>
      <c r="P265">
        <v>2</v>
      </c>
    </row>
    <row r="266" spans="1:16" x14ac:dyDescent="0.3">
      <c r="A266" s="2" t="s">
        <v>553</v>
      </c>
      <c r="B266" s="2" t="s">
        <v>1042</v>
      </c>
      <c r="C266" s="2" t="s">
        <v>11</v>
      </c>
      <c r="D266">
        <v>39</v>
      </c>
      <c r="E266" s="2" t="s">
        <v>12</v>
      </c>
      <c r="F266" s="2" t="s">
        <v>31</v>
      </c>
      <c r="G266">
        <v>103309</v>
      </c>
      <c r="H266" s="2" t="s">
        <v>14</v>
      </c>
      <c r="I266" s="3">
        <v>44102</v>
      </c>
      <c r="J266" t="s">
        <v>1029</v>
      </c>
      <c r="K266">
        <v>5</v>
      </c>
      <c r="L266" t="s">
        <v>1033</v>
      </c>
      <c r="M266" t="s">
        <v>1034</v>
      </c>
      <c r="N266">
        <v>2020</v>
      </c>
      <c r="O266" t="s">
        <v>1029</v>
      </c>
      <c r="P266">
        <v>2</v>
      </c>
    </row>
    <row r="267" spans="1:16" x14ac:dyDescent="0.3">
      <c r="A267" s="2" t="s">
        <v>555</v>
      </c>
      <c r="B267" s="2" t="s">
        <v>556</v>
      </c>
      <c r="C267" s="2" t="s">
        <v>17</v>
      </c>
      <c r="D267">
        <v>30</v>
      </c>
      <c r="E267" s="2" t="s">
        <v>18</v>
      </c>
      <c r="F267" s="2" t="s">
        <v>23</v>
      </c>
      <c r="G267">
        <v>146446</v>
      </c>
      <c r="H267" s="2" t="s">
        <v>14</v>
      </c>
      <c r="I267" s="3">
        <v>42770</v>
      </c>
      <c r="J267" t="s">
        <v>1029</v>
      </c>
      <c r="K267">
        <v>9</v>
      </c>
      <c r="L267" t="s">
        <v>1036</v>
      </c>
      <c r="M267" t="s">
        <v>1034</v>
      </c>
      <c r="N267">
        <v>2017</v>
      </c>
      <c r="O267" t="s">
        <v>1029</v>
      </c>
      <c r="P267">
        <v>2</v>
      </c>
    </row>
    <row r="268" spans="1:16" x14ac:dyDescent="0.3">
      <c r="A268" s="2" t="s">
        <v>557</v>
      </c>
      <c r="B268" s="2" t="s">
        <v>558</v>
      </c>
      <c r="C268" s="2" t="s">
        <v>17</v>
      </c>
      <c r="D268">
        <v>36</v>
      </c>
      <c r="E268" s="2" t="s">
        <v>18</v>
      </c>
      <c r="F268" s="2" t="s">
        <v>37</v>
      </c>
      <c r="G268">
        <v>126661</v>
      </c>
      <c r="H268" s="2" t="s">
        <v>14</v>
      </c>
      <c r="I268" s="3">
        <v>44437</v>
      </c>
      <c r="J268" t="s">
        <v>1029</v>
      </c>
      <c r="K268">
        <v>4</v>
      </c>
      <c r="L268" t="s">
        <v>1033</v>
      </c>
      <c r="M268" t="s">
        <v>1034</v>
      </c>
      <c r="N268">
        <v>2021</v>
      </c>
      <c r="O268" t="s">
        <v>1029</v>
      </c>
      <c r="P268">
        <v>2</v>
      </c>
    </row>
    <row r="269" spans="1:16" x14ac:dyDescent="0.3">
      <c r="A269" s="2" t="s">
        <v>559</v>
      </c>
      <c r="B269" s="2" t="s">
        <v>560</v>
      </c>
      <c r="C269" s="2" t="s">
        <v>17</v>
      </c>
      <c r="D269">
        <v>66</v>
      </c>
      <c r="E269" s="2" t="s">
        <v>18</v>
      </c>
      <c r="F269" s="2" t="s">
        <v>27</v>
      </c>
      <c r="G269">
        <v>177215</v>
      </c>
      <c r="H269" s="2" t="s">
        <v>14</v>
      </c>
      <c r="I269" s="3">
        <v>43819</v>
      </c>
      <c r="J269" t="s">
        <v>1038</v>
      </c>
      <c r="K269">
        <v>6</v>
      </c>
      <c r="L269" t="s">
        <v>1033</v>
      </c>
      <c r="M269" t="s">
        <v>1031</v>
      </c>
      <c r="N269">
        <v>2019</v>
      </c>
      <c r="O269" t="s">
        <v>1038</v>
      </c>
      <c r="P269">
        <v>4</v>
      </c>
    </row>
    <row r="270" spans="1:16" x14ac:dyDescent="0.3">
      <c r="A270" s="2" t="s">
        <v>561</v>
      </c>
      <c r="B270" s="2" t="s">
        <v>562</v>
      </c>
      <c r="C270" s="2" t="s">
        <v>11</v>
      </c>
      <c r="D270">
        <v>53</v>
      </c>
      <c r="E270" s="2" t="s">
        <v>18</v>
      </c>
      <c r="F270" s="2" t="s">
        <v>37</v>
      </c>
      <c r="G270">
        <v>26154</v>
      </c>
      <c r="H270" s="2" t="s">
        <v>20</v>
      </c>
      <c r="I270" s="3">
        <v>43150</v>
      </c>
      <c r="J270" t="s">
        <v>1032</v>
      </c>
      <c r="K270">
        <v>8</v>
      </c>
      <c r="L270" t="s">
        <v>1036</v>
      </c>
      <c r="M270" t="s">
        <v>1037</v>
      </c>
      <c r="N270">
        <v>2018</v>
      </c>
      <c r="O270" t="s">
        <v>1032</v>
      </c>
      <c r="P270">
        <v>3</v>
      </c>
    </row>
    <row r="271" spans="1:16" x14ac:dyDescent="0.3">
      <c r="A271" s="2" t="s">
        <v>563</v>
      </c>
      <c r="B271" s="2" t="s">
        <v>564</v>
      </c>
      <c r="C271" s="2" t="s">
        <v>11</v>
      </c>
      <c r="D271">
        <v>29</v>
      </c>
      <c r="E271" s="2" t="s">
        <v>30</v>
      </c>
      <c r="F271" s="2" t="s">
        <v>31</v>
      </c>
      <c r="G271">
        <v>172876</v>
      </c>
      <c r="H271" s="2" t="s">
        <v>14</v>
      </c>
      <c r="I271" s="3">
        <v>42737</v>
      </c>
      <c r="J271" t="s">
        <v>1029</v>
      </c>
      <c r="K271">
        <v>9</v>
      </c>
      <c r="L271" t="s">
        <v>1036</v>
      </c>
      <c r="M271" t="s">
        <v>1031</v>
      </c>
      <c r="N271">
        <v>2017</v>
      </c>
      <c r="O271" t="s">
        <v>1029</v>
      </c>
      <c r="P271">
        <v>2</v>
      </c>
    </row>
    <row r="272" spans="1:16" x14ac:dyDescent="0.3">
      <c r="A272" s="2" t="s">
        <v>565</v>
      </c>
      <c r="B272" s="2" t="s">
        <v>566</v>
      </c>
      <c r="C272" s="2" t="s">
        <v>17</v>
      </c>
      <c r="D272">
        <v>58</v>
      </c>
      <c r="E272" s="2" t="s">
        <v>12</v>
      </c>
      <c r="F272" s="2" t="s">
        <v>23</v>
      </c>
      <c r="G272">
        <v>192760</v>
      </c>
      <c r="H272" s="2" t="s">
        <v>20</v>
      </c>
      <c r="I272" s="3">
        <v>45051</v>
      </c>
      <c r="J272" t="s">
        <v>1032</v>
      </c>
      <c r="K272">
        <v>3</v>
      </c>
      <c r="L272" t="s">
        <v>1030</v>
      </c>
      <c r="M272" t="s">
        <v>1031</v>
      </c>
      <c r="N272">
        <v>2023</v>
      </c>
      <c r="O272" t="s">
        <v>1032</v>
      </c>
      <c r="P272">
        <v>3</v>
      </c>
    </row>
    <row r="273" spans="1:16" x14ac:dyDescent="0.3">
      <c r="A273" s="2" t="s">
        <v>567</v>
      </c>
      <c r="B273" s="2" t="s">
        <v>568</v>
      </c>
      <c r="C273" s="2" t="s">
        <v>17</v>
      </c>
      <c r="D273">
        <v>36</v>
      </c>
      <c r="E273" s="2" t="s">
        <v>30</v>
      </c>
      <c r="F273" s="2" t="s">
        <v>19</v>
      </c>
      <c r="G273">
        <v>84288</v>
      </c>
      <c r="H273" s="2" t="s">
        <v>20</v>
      </c>
      <c r="I273" s="3">
        <v>43890</v>
      </c>
      <c r="J273" t="s">
        <v>1029</v>
      </c>
      <c r="K273">
        <v>6</v>
      </c>
      <c r="L273" t="s">
        <v>1033</v>
      </c>
      <c r="M273" t="s">
        <v>1037</v>
      </c>
      <c r="N273">
        <v>2020</v>
      </c>
      <c r="O273" t="s">
        <v>1029</v>
      </c>
      <c r="P273">
        <v>2</v>
      </c>
    </row>
    <row r="274" spans="1:16" x14ac:dyDescent="0.3">
      <c r="A274" s="2" t="s">
        <v>569</v>
      </c>
      <c r="B274" s="2" t="s">
        <v>570</v>
      </c>
      <c r="C274" s="2" t="s">
        <v>17</v>
      </c>
      <c r="D274">
        <v>29</v>
      </c>
      <c r="E274" s="2" t="s">
        <v>30</v>
      </c>
      <c r="F274" s="2" t="s">
        <v>42</v>
      </c>
      <c r="G274">
        <v>71195</v>
      </c>
      <c r="H274" s="2" t="s">
        <v>14</v>
      </c>
      <c r="I274" s="3">
        <v>44008</v>
      </c>
      <c r="J274" t="s">
        <v>1029</v>
      </c>
      <c r="K274">
        <v>6</v>
      </c>
      <c r="L274" t="s">
        <v>1033</v>
      </c>
      <c r="M274" t="s">
        <v>1037</v>
      </c>
      <c r="N274">
        <v>2020</v>
      </c>
      <c r="O274" t="s">
        <v>1029</v>
      </c>
      <c r="P274">
        <v>2</v>
      </c>
    </row>
    <row r="275" spans="1:16" x14ac:dyDescent="0.3">
      <c r="A275" s="2" t="s">
        <v>571</v>
      </c>
      <c r="B275" s="2" t="s">
        <v>572</v>
      </c>
      <c r="C275" s="2" t="s">
        <v>17</v>
      </c>
      <c r="D275">
        <v>26</v>
      </c>
      <c r="E275" s="2" t="s">
        <v>18</v>
      </c>
      <c r="F275" s="2" t="s">
        <v>27</v>
      </c>
      <c r="G275">
        <v>40581</v>
      </c>
      <c r="H275" s="2" t="s">
        <v>14</v>
      </c>
      <c r="I275" s="3">
        <v>45559</v>
      </c>
      <c r="J275" t="s">
        <v>1035</v>
      </c>
      <c r="K275">
        <v>1</v>
      </c>
      <c r="L275" t="s">
        <v>1039</v>
      </c>
      <c r="M275" t="s">
        <v>1037</v>
      </c>
      <c r="N275">
        <v>2024</v>
      </c>
      <c r="O275" t="s">
        <v>1035</v>
      </c>
      <c r="P275">
        <v>1</v>
      </c>
    </row>
    <row r="276" spans="1:16" x14ac:dyDescent="0.3">
      <c r="A276" s="2" t="s">
        <v>573</v>
      </c>
      <c r="B276" s="2" t="s">
        <v>574</v>
      </c>
      <c r="C276" s="2" t="s">
        <v>11</v>
      </c>
      <c r="D276">
        <v>24</v>
      </c>
      <c r="E276" s="2" t="s">
        <v>34</v>
      </c>
      <c r="F276" s="2" t="s">
        <v>23</v>
      </c>
      <c r="G276">
        <v>50087</v>
      </c>
      <c r="H276" s="2" t="s">
        <v>20</v>
      </c>
      <c r="I276" s="3">
        <v>43775</v>
      </c>
      <c r="J276" t="s">
        <v>1035</v>
      </c>
      <c r="K276">
        <v>6</v>
      </c>
      <c r="L276" t="s">
        <v>1033</v>
      </c>
      <c r="M276" t="s">
        <v>1037</v>
      </c>
      <c r="N276">
        <v>2019</v>
      </c>
      <c r="O276" t="s">
        <v>1035</v>
      </c>
      <c r="P276">
        <v>1</v>
      </c>
    </row>
    <row r="277" spans="1:16" x14ac:dyDescent="0.3">
      <c r="A277" s="2" t="s">
        <v>575</v>
      </c>
      <c r="B277" s="2" t="s">
        <v>576</v>
      </c>
      <c r="C277" s="2" t="s">
        <v>17</v>
      </c>
      <c r="D277">
        <v>45</v>
      </c>
      <c r="E277" s="2" t="s">
        <v>34</v>
      </c>
      <c r="F277" s="2" t="s">
        <v>31</v>
      </c>
      <c r="G277">
        <v>184053</v>
      </c>
      <c r="H277" s="2" t="s">
        <v>14</v>
      </c>
      <c r="I277" s="3">
        <v>44122</v>
      </c>
      <c r="J277" t="s">
        <v>1032</v>
      </c>
      <c r="K277">
        <v>5</v>
      </c>
      <c r="L277" t="s">
        <v>1033</v>
      </c>
      <c r="M277" t="s">
        <v>1031</v>
      </c>
      <c r="N277">
        <v>2020</v>
      </c>
      <c r="O277" t="s">
        <v>1032</v>
      </c>
      <c r="P277">
        <v>3</v>
      </c>
    </row>
    <row r="278" spans="1:16" x14ac:dyDescent="0.3">
      <c r="A278" s="2" t="s">
        <v>577</v>
      </c>
      <c r="B278" s="2" t="s">
        <v>578</v>
      </c>
      <c r="C278" s="2" t="s">
        <v>11</v>
      </c>
      <c r="D278">
        <v>31</v>
      </c>
      <c r="E278" s="2" t="s">
        <v>30</v>
      </c>
      <c r="F278" s="2" t="s">
        <v>27</v>
      </c>
      <c r="G278">
        <v>89298</v>
      </c>
      <c r="H278" s="2" t="s">
        <v>14</v>
      </c>
      <c r="I278" s="3">
        <v>43083</v>
      </c>
      <c r="J278" t="s">
        <v>1029</v>
      </c>
      <c r="K278">
        <v>8</v>
      </c>
      <c r="L278" t="s">
        <v>1036</v>
      </c>
      <c r="M278" t="s">
        <v>1037</v>
      </c>
      <c r="N278">
        <v>2017</v>
      </c>
      <c r="O278" t="s">
        <v>1029</v>
      </c>
      <c r="P278">
        <v>2</v>
      </c>
    </row>
    <row r="279" spans="1:16" x14ac:dyDescent="0.3">
      <c r="A279" s="2" t="s">
        <v>579</v>
      </c>
      <c r="B279" s="2" t="s">
        <v>580</v>
      </c>
      <c r="C279" s="2" t="s">
        <v>17</v>
      </c>
      <c r="D279">
        <v>48</v>
      </c>
      <c r="E279" s="2" t="s">
        <v>30</v>
      </c>
      <c r="F279" s="2" t="s">
        <v>13</v>
      </c>
      <c r="G279">
        <v>66167</v>
      </c>
      <c r="H279" s="2" t="s">
        <v>24</v>
      </c>
      <c r="I279" s="3">
        <v>43497</v>
      </c>
      <c r="J279" t="s">
        <v>1032</v>
      </c>
      <c r="K279">
        <v>7</v>
      </c>
      <c r="L279" t="s">
        <v>1033</v>
      </c>
      <c r="M279" t="s">
        <v>1037</v>
      </c>
      <c r="N279">
        <v>2019</v>
      </c>
      <c r="O279" t="s">
        <v>1032</v>
      </c>
      <c r="P279">
        <v>3</v>
      </c>
    </row>
    <row r="280" spans="1:16" x14ac:dyDescent="0.3">
      <c r="A280" s="2" t="s">
        <v>581</v>
      </c>
      <c r="B280" s="2" t="s">
        <v>582</v>
      </c>
      <c r="C280" s="2" t="s">
        <v>11</v>
      </c>
      <c r="D280">
        <v>69</v>
      </c>
      <c r="E280" s="2" t="s">
        <v>18</v>
      </c>
      <c r="F280" s="2" t="s">
        <v>37</v>
      </c>
      <c r="G280">
        <v>194480</v>
      </c>
      <c r="H280" s="2" t="s">
        <v>14</v>
      </c>
      <c r="I280" s="3">
        <v>43316</v>
      </c>
      <c r="J280" t="s">
        <v>1038</v>
      </c>
      <c r="K280">
        <v>7</v>
      </c>
      <c r="L280" t="s">
        <v>1033</v>
      </c>
      <c r="M280" t="s">
        <v>1031</v>
      </c>
      <c r="N280">
        <v>2018</v>
      </c>
      <c r="O280" t="s">
        <v>1038</v>
      </c>
      <c r="P280">
        <v>4</v>
      </c>
    </row>
    <row r="281" spans="1:16" x14ac:dyDescent="0.3">
      <c r="A281" s="2" t="s">
        <v>583</v>
      </c>
      <c r="B281" s="2" t="s">
        <v>584</v>
      </c>
      <c r="C281" s="2" t="s">
        <v>17</v>
      </c>
      <c r="D281">
        <v>36</v>
      </c>
      <c r="E281" s="2" t="s">
        <v>30</v>
      </c>
      <c r="F281" s="2" t="s">
        <v>42</v>
      </c>
      <c r="G281">
        <v>59499</v>
      </c>
      <c r="H281" s="2" t="s">
        <v>20</v>
      </c>
      <c r="I281" s="3">
        <v>42882</v>
      </c>
      <c r="J281" t="s">
        <v>1029</v>
      </c>
      <c r="K281">
        <v>9</v>
      </c>
      <c r="L281" t="s">
        <v>1036</v>
      </c>
      <c r="M281" t="s">
        <v>1037</v>
      </c>
      <c r="N281">
        <v>2017</v>
      </c>
      <c r="O281" t="s">
        <v>1029</v>
      </c>
      <c r="P281">
        <v>2</v>
      </c>
    </row>
    <row r="282" spans="1:16" x14ac:dyDescent="0.3">
      <c r="A282" s="2" t="s">
        <v>585</v>
      </c>
      <c r="B282" s="2" t="s">
        <v>586</v>
      </c>
      <c r="C282" s="2" t="s">
        <v>17</v>
      </c>
      <c r="D282">
        <v>64</v>
      </c>
      <c r="E282" s="2" t="s">
        <v>18</v>
      </c>
      <c r="F282" s="2" t="s">
        <v>31</v>
      </c>
      <c r="G282">
        <v>145816</v>
      </c>
      <c r="H282" s="2" t="s">
        <v>24</v>
      </c>
      <c r="I282" s="3">
        <v>44500</v>
      </c>
      <c r="J282" t="s">
        <v>1038</v>
      </c>
      <c r="K282">
        <v>4</v>
      </c>
      <c r="L282" t="s">
        <v>1033</v>
      </c>
      <c r="M282" t="s">
        <v>1034</v>
      </c>
      <c r="N282">
        <v>2021</v>
      </c>
      <c r="O282" t="s">
        <v>1038</v>
      </c>
      <c r="P282">
        <v>4</v>
      </c>
    </row>
    <row r="283" spans="1:16" x14ac:dyDescent="0.3">
      <c r="A283" s="2" t="s">
        <v>587</v>
      </c>
      <c r="B283" s="2" t="s">
        <v>588</v>
      </c>
      <c r="C283" s="2" t="s">
        <v>17</v>
      </c>
      <c r="D283">
        <v>33</v>
      </c>
      <c r="E283" s="2" t="s">
        <v>34</v>
      </c>
      <c r="F283" s="2" t="s">
        <v>13</v>
      </c>
      <c r="G283">
        <v>189631</v>
      </c>
      <c r="H283" s="2" t="s">
        <v>14</v>
      </c>
      <c r="I283" s="3">
        <v>42880</v>
      </c>
      <c r="J283" t="s">
        <v>1029</v>
      </c>
      <c r="K283">
        <v>9</v>
      </c>
      <c r="L283" t="s">
        <v>1036</v>
      </c>
      <c r="M283" t="s">
        <v>1031</v>
      </c>
      <c r="N283">
        <v>2017</v>
      </c>
      <c r="O283" t="s">
        <v>1029</v>
      </c>
      <c r="P283">
        <v>2</v>
      </c>
    </row>
    <row r="284" spans="1:16" x14ac:dyDescent="0.3">
      <c r="A284" s="2" t="s">
        <v>589</v>
      </c>
      <c r="B284" s="2" t="s">
        <v>590</v>
      </c>
      <c r="C284" s="2" t="s">
        <v>17</v>
      </c>
      <c r="D284">
        <v>70</v>
      </c>
      <c r="E284" s="2" t="s">
        <v>34</v>
      </c>
      <c r="F284" s="2" t="s">
        <v>23</v>
      </c>
      <c r="G284">
        <v>116347</v>
      </c>
      <c r="H284" s="2" t="s">
        <v>14</v>
      </c>
      <c r="I284" s="3">
        <v>42754</v>
      </c>
      <c r="J284" t="s">
        <v>1038</v>
      </c>
      <c r="K284">
        <v>9</v>
      </c>
      <c r="L284" t="s">
        <v>1036</v>
      </c>
      <c r="M284" t="s">
        <v>1034</v>
      </c>
      <c r="N284">
        <v>2017</v>
      </c>
      <c r="O284" t="s">
        <v>1038</v>
      </c>
      <c r="P284">
        <v>4</v>
      </c>
    </row>
    <row r="285" spans="1:16" x14ac:dyDescent="0.3">
      <c r="A285" s="2" t="s">
        <v>591</v>
      </c>
      <c r="B285" s="2" t="s">
        <v>592</v>
      </c>
      <c r="C285" s="2" t="s">
        <v>11</v>
      </c>
      <c r="D285">
        <v>22</v>
      </c>
      <c r="E285" s="2" t="s">
        <v>12</v>
      </c>
      <c r="F285" s="2" t="s">
        <v>19</v>
      </c>
      <c r="G285">
        <v>68787</v>
      </c>
      <c r="H285" s="2" t="s">
        <v>14</v>
      </c>
      <c r="I285" s="3">
        <v>42305</v>
      </c>
      <c r="J285" t="s">
        <v>1035</v>
      </c>
      <c r="K285">
        <v>10</v>
      </c>
      <c r="L285" t="s">
        <v>1036</v>
      </c>
      <c r="M285" t="s">
        <v>1037</v>
      </c>
      <c r="N285">
        <v>2015</v>
      </c>
      <c r="O285" t="s">
        <v>1035</v>
      </c>
      <c r="P285">
        <v>1</v>
      </c>
    </row>
    <row r="286" spans="1:16" x14ac:dyDescent="0.3">
      <c r="A286" s="2" t="s">
        <v>593</v>
      </c>
      <c r="B286" s="2" t="s">
        <v>594</v>
      </c>
      <c r="C286" s="2" t="s">
        <v>17</v>
      </c>
      <c r="D286">
        <v>52</v>
      </c>
      <c r="E286" s="2" t="s">
        <v>34</v>
      </c>
      <c r="F286" s="2" t="s">
        <v>27</v>
      </c>
      <c r="G286">
        <v>55488</v>
      </c>
      <c r="H286" s="2" t="s">
        <v>14</v>
      </c>
      <c r="I286" s="3">
        <v>44249</v>
      </c>
      <c r="J286" t="s">
        <v>1032</v>
      </c>
      <c r="K286">
        <v>5</v>
      </c>
      <c r="L286" t="s">
        <v>1033</v>
      </c>
      <c r="M286" t="s">
        <v>1037</v>
      </c>
      <c r="N286">
        <v>2021</v>
      </c>
      <c r="O286" t="s">
        <v>1032</v>
      </c>
      <c r="P286">
        <v>3</v>
      </c>
    </row>
    <row r="287" spans="1:16" x14ac:dyDescent="0.3">
      <c r="A287" s="2" t="s">
        <v>595</v>
      </c>
      <c r="B287" s="2" t="s">
        <v>596</v>
      </c>
      <c r="C287" s="2" t="s">
        <v>11</v>
      </c>
      <c r="D287">
        <v>29</v>
      </c>
      <c r="E287" s="2" t="s">
        <v>30</v>
      </c>
      <c r="F287" s="2" t="s">
        <v>37</v>
      </c>
      <c r="G287">
        <v>94441</v>
      </c>
      <c r="H287" s="2" t="s">
        <v>14</v>
      </c>
      <c r="I287" s="3">
        <v>43856</v>
      </c>
      <c r="J287" t="s">
        <v>1029</v>
      </c>
      <c r="K287">
        <v>6</v>
      </c>
      <c r="L287" t="s">
        <v>1033</v>
      </c>
      <c r="M287" t="s">
        <v>1037</v>
      </c>
      <c r="N287">
        <v>2020</v>
      </c>
      <c r="O287" t="s">
        <v>1029</v>
      </c>
      <c r="P287">
        <v>2</v>
      </c>
    </row>
    <row r="288" spans="1:16" x14ac:dyDescent="0.3">
      <c r="A288" s="2" t="s">
        <v>597</v>
      </c>
      <c r="B288" s="2" t="s">
        <v>598</v>
      </c>
      <c r="C288" s="2" t="s">
        <v>11</v>
      </c>
      <c r="D288">
        <v>42</v>
      </c>
      <c r="E288" s="2" t="s">
        <v>34</v>
      </c>
      <c r="F288" s="2" t="s">
        <v>27</v>
      </c>
      <c r="G288">
        <v>42431</v>
      </c>
      <c r="H288" s="2" t="s">
        <v>20</v>
      </c>
      <c r="I288" s="3">
        <v>45769</v>
      </c>
      <c r="J288" t="s">
        <v>1029</v>
      </c>
      <c r="K288">
        <v>1</v>
      </c>
      <c r="L288" t="s">
        <v>1039</v>
      </c>
      <c r="M288" t="s">
        <v>1037</v>
      </c>
      <c r="N288">
        <v>2025</v>
      </c>
      <c r="O288" t="s">
        <v>1029</v>
      </c>
      <c r="P288">
        <v>2</v>
      </c>
    </row>
    <row r="289" spans="1:16" x14ac:dyDescent="0.3">
      <c r="A289" s="2" t="s">
        <v>599</v>
      </c>
      <c r="B289" s="2" t="s">
        <v>600</v>
      </c>
      <c r="C289" s="2" t="s">
        <v>11</v>
      </c>
      <c r="D289">
        <v>69</v>
      </c>
      <c r="E289" s="2" t="s">
        <v>18</v>
      </c>
      <c r="F289" s="2" t="s">
        <v>42</v>
      </c>
      <c r="G289">
        <v>81681</v>
      </c>
      <c r="H289" s="2" t="s">
        <v>14</v>
      </c>
      <c r="I289" s="3">
        <v>44856</v>
      </c>
      <c r="J289" t="s">
        <v>1038</v>
      </c>
      <c r="K289">
        <v>3</v>
      </c>
      <c r="L289" t="s">
        <v>1030</v>
      </c>
      <c r="M289" t="s">
        <v>1037</v>
      </c>
      <c r="N289">
        <v>2022</v>
      </c>
      <c r="O289" t="s">
        <v>1038</v>
      </c>
      <c r="P289">
        <v>4</v>
      </c>
    </row>
    <row r="290" spans="1:16" x14ac:dyDescent="0.3">
      <c r="A290" s="2" t="s">
        <v>601</v>
      </c>
      <c r="B290" s="2" t="s">
        <v>602</v>
      </c>
      <c r="C290" s="2" t="s">
        <v>11</v>
      </c>
      <c r="D290">
        <v>38</v>
      </c>
      <c r="E290" s="2" t="s">
        <v>34</v>
      </c>
      <c r="F290" s="2" t="s">
        <v>23</v>
      </c>
      <c r="G290">
        <v>142720</v>
      </c>
      <c r="H290" s="2" t="s">
        <v>14</v>
      </c>
      <c r="I290" s="3">
        <v>44265</v>
      </c>
      <c r="J290" t="s">
        <v>1029</v>
      </c>
      <c r="K290">
        <v>5</v>
      </c>
      <c r="L290" t="s">
        <v>1033</v>
      </c>
      <c r="M290" t="s">
        <v>1034</v>
      </c>
      <c r="N290">
        <v>2021</v>
      </c>
      <c r="O290" t="s">
        <v>1029</v>
      </c>
      <c r="P290">
        <v>2</v>
      </c>
    </row>
    <row r="291" spans="1:16" x14ac:dyDescent="0.3">
      <c r="A291" s="2" t="s">
        <v>603</v>
      </c>
      <c r="B291" s="2" t="s">
        <v>604</v>
      </c>
      <c r="C291" s="2" t="s">
        <v>17</v>
      </c>
      <c r="D291">
        <v>53</v>
      </c>
      <c r="E291" s="2" t="s">
        <v>12</v>
      </c>
      <c r="F291" s="2" t="s">
        <v>27</v>
      </c>
      <c r="G291">
        <v>69153</v>
      </c>
      <c r="H291" s="2" t="s">
        <v>24</v>
      </c>
      <c r="I291" s="3">
        <v>42617</v>
      </c>
      <c r="J291" t="s">
        <v>1032</v>
      </c>
      <c r="K291">
        <v>9</v>
      </c>
      <c r="L291" t="s">
        <v>1036</v>
      </c>
      <c r="M291" t="s">
        <v>1037</v>
      </c>
      <c r="N291">
        <v>2016</v>
      </c>
      <c r="O291" t="s">
        <v>1032</v>
      </c>
      <c r="P291">
        <v>3</v>
      </c>
    </row>
    <row r="292" spans="1:16" x14ac:dyDescent="0.3">
      <c r="A292" s="2" t="s">
        <v>605</v>
      </c>
      <c r="B292" s="2" t="s">
        <v>606</v>
      </c>
      <c r="C292" s="2" t="s">
        <v>11</v>
      </c>
      <c r="D292">
        <v>70</v>
      </c>
      <c r="E292" s="2" t="s">
        <v>34</v>
      </c>
      <c r="F292" s="2" t="s">
        <v>37</v>
      </c>
      <c r="G292">
        <v>26368</v>
      </c>
      <c r="H292" s="2" t="s">
        <v>20</v>
      </c>
      <c r="I292" s="3">
        <v>43499</v>
      </c>
      <c r="J292" t="s">
        <v>1038</v>
      </c>
      <c r="K292">
        <v>7</v>
      </c>
      <c r="L292" t="s">
        <v>1033</v>
      </c>
      <c r="M292" t="s">
        <v>1037</v>
      </c>
      <c r="N292">
        <v>2019</v>
      </c>
      <c r="O292" t="s">
        <v>1038</v>
      </c>
      <c r="P292">
        <v>4</v>
      </c>
    </row>
    <row r="293" spans="1:16" x14ac:dyDescent="0.3">
      <c r="A293" s="2" t="s">
        <v>607</v>
      </c>
      <c r="B293" s="2" t="s">
        <v>608</v>
      </c>
      <c r="C293" s="2" t="s">
        <v>11</v>
      </c>
      <c r="D293">
        <v>40</v>
      </c>
      <c r="E293" s="2" t="s">
        <v>18</v>
      </c>
      <c r="F293" s="2" t="s">
        <v>23</v>
      </c>
      <c r="G293">
        <v>178496</v>
      </c>
      <c r="H293" s="2" t="s">
        <v>20</v>
      </c>
      <c r="I293" s="3">
        <v>44893</v>
      </c>
      <c r="J293" t="s">
        <v>1029</v>
      </c>
      <c r="K293">
        <v>3</v>
      </c>
      <c r="L293" t="s">
        <v>1030</v>
      </c>
      <c r="M293" t="s">
        <v>1031</v>
      </c>
      <c r="N293">
        <v>2022</v>
      </c>
      <c r="O293" t="s">
        <v>1029</v>
      </c>
      <c r="P293">
        <v>2</v>
      </c>
    </row>
    <row r="294" spans="1:16" x14ac:dyDescent="0.3">
      <c r="A294" s="2" t="s">
        <v>609</v>
      </c>
      <c r="B294" s="2" t="s">
        <v>610</v>
      </c>
      <c r="C294" s="2" t="s">
        <v>11</v>
      </c>
      <c r="D294">
        <v>33</v>
      </c>
      <c r="E294" s="2" t="s">
        <v>18</v>
      </c>
      <c r="F294" s="2" t="s">
        <v>27</v>
      </c>
      <c r="G294">
        <v>132360</v>
      </c>
      <c r="H294" s="2" t="s">
        <v>14</v>
      </c>
      <c r="I294" s="3">
        <v>42674</v>
      </c>
      <c r="J294" t="s">
        <v>1029</v>
      </c>
      <c r="K294">
        <v>9</v>
      </c>
      <c r="L294" t="s">
        <v>1036</v>
      </c>
      <c r="M294" t="s">
        <v>1034</v>
      </c>
      <c r="N294">
        <v>2016</v>
      </c>
      <c r="O294" t="s">
        <v>1029</v>
      </c>
      <c r="P294">
        <v>2</v>
      </c>
    </row>
    <row r="295" spans="1:16" x14ac:dyDescent="0.3">
      <c r="A295" s="2" t="s">
        <v>611</v>
      </c>
      <c r="B295" s="2" t="s">
        <v>612</v>
      </c>
      <c r="C295" s="2" t="s">
        <v>17</v>
      </c>
      <c r="D295">
        <v>74</v>
      </c>
      <c r="E295" s="2" t="s">
        <v>30</v>
      </c>
      <c r="F295" s="2" t="s">
        <v>19</v>
      </c>
      <c r="G295">
        <v>196076</v>
      </c>
      <c r="H295" s="2" t="s">
        <v>20</v>
      </c>
      <c r="I295" s="3">
        <v>43335</v>
      </c>
      <c r="J295" t="s">
        <v>1038</v>
      </c>
      <c r="K295">
        <v>7</v>
      </c>
      <c r="L295" t="s">
        <v>1033</v>
      </c>
      <c r="M295" t="s">
        <v>1031</v>
      </c>
      <c r="N295">
        <v>2018</v>
      </c>
      <c r="O295" t="s">
        <v>1038</v>
      </c>
      <c r="P295">
        <v>4</v>
      </c>
    </row>
    <row r="296" spans="1:16" x14ac:dyDescent="0.3">
      <c r="A296" s="2" t="s">
        <v>613</v>
      </c>
      <c r="B296" s="2" t="s">
        <v>614</v>
      </c>
      <c r="C296" s="2" t="s">
        <v>17</v>
      </c>
      <c r="D296">
        <v>56</v>
      </c>
      <c r="E296" s="2" t="s">
        <v>34</v>
      </c>
      <c r="F296" s="2" t="s">
        <v>31</v>
      </c>
      <c r="G296">
        <v>132755</v>
      </c>
      <c r="H296" s="2" t="s">
        <v>14</v>
      </c>
      <c r="I296" s="3">
        <v>42510</v>
      </c>
      <c r="J296" t="s">
        <v>1032</v>
      </c>
      <c r="K296">
        <v>10</v>
      </c>
      <c r="L296" t="s">
        <v>1036</v>
      </c>
      <c r="M296" t="s">
        <v>1034</v>
      </c>
      <c r="N296">
        <v>2016</v>
      </c>
      <c r="O296" t="s">
        <v>1032</v>
      </c>
      <c r="P296">
        <v>3</v>
      </c>
    </row>
    <row r="297" spans="1:16" x14ac:dyDescent="0.3">
      <c r="A297" s="2" t="s">
        <v>615</v>
      </c>
      <c r="B297" s="2" t="s">
        <v>616</v>
      </c>
      <c r="C297" s="2" t="s">
        <v>17</v>
      </c>
      <c r="D297">
        <v>62</v>
      </c>
      <c r="E297" s="2" t="s">
        <v>18</v>
      </c>
      <c r="F297" s="2" t="s">
        <v>23</v>
      </c>
      <c r="G297">
        <v>76985</v>
      </c>
      <c r="H297" s="2" t="s">
        <v>14</v>
      </c>
      <c r="I297" s="3">
        <v>44646</v>
      </c>
      <c r="J297" t="s">
        <v>1038</v>
      </c>
      <c r="K297">
        <v>4</v>
      </c>
      <c r="L297" t="s">
        <v>1033</v>
      </c>
      <c r="M297" t="s">
        <v>1037</v>
      </c>
      <c r="N297">
        <v>2022</v>
      </c>
      <c r="O297" t="s">
        <v>1038</v>
      </c>
      <c r="P297">
        <v>4</v>
      </c>
    </row>
    <row r="298" spans="1:16" x14ac:dyDescent="0.3">
      <c r="A298" s="2" t="s">
        <v>617</v>
      </c>
      <c r="B298" s="2" t="s">
        <v>618</v>
      </c>
      <c r="C298" s="2" t="s">
        <v>17</v>
      </c>
      <c r="D298">
        <v>70</v>
      </c>
      <c r="E298" s="2" t="s">
        <v>12</v>
      </c>
      <c r="F298" s="2" t="s">
        <v>31</v>
      </c>
      <c r="G298">
        <v>70069</v>
      </c>
      <c r="H298" s="2" t="s">
        <v>14</v>
      </c>
      <c r="I298" s="3">
        <v>44862</v>
      </c>
      <c r="J298" t="s">
        <v>1038</v>
      </c>
      <c r="K298">
        <v>3</v>
      </c>
      <c r="L298" t="s">
        <v>1030</v>
      </c>
      <c r="M298" t="s">
        <v>1037</v>
      </c>
      <c r="N298">
        <v>2022</v>
      </c>
      <c r="O298" t="s">
        <v>1038</v>
      </c>
      <c r="P298">
        <v>4</v>
      </c>
    </row>
    <row r="299" spans="1:16" x14ac:dyDescent="0.3">
      <c r="A299" s="2" t="s">
        <v>619</v>
      </c>
      <c r="B299" s="2" t="s">
        <v>620</v>
      </c>
      <c r="C299" s="2" t="s">
        <v>11</v>
      </c>
      <c r="D299">
        <v>59</v>
      </c>
      <c r="E299" s="2" t="s">
        <v>30</v>
      </c>
      <c r="F299" s="2" t="s">
        <v>23</v>
      </c>
      <c r="G299">
        <v>72326</v>
      </c>
      <c r="H299" s="2" t="s">
        <v>20</v>
      </c>
      <c r="I299" s="3">
        <v>42922</v>
      </c>
      <c r="J299" t="s">
        <v>1032</v>
      </c>
      <c r="K299">
        <v>8</v>
      </c>
      <c r="L299" t="s">
        <v>1036</v>
      </c>
      <c r="M299" t="s">
        <v>1037</v>
      </c>
      <c r="N299">
        <v>2017</v>
      </c>
      <c r="O299" t="s">
        <v>1032</v>
      </c>
      <c r="P299">
        <v>3</v>
      </c>
    </row>
    <row r="300" spans="1:16" x14ac:dyDescent="0.3">
      <c r="A300" s="2" t="s">
        <v>621</v>
      </c>
      <c r="B300" s="2" t="s">
        <v>622</v>
      </c>
      <c r="C300" s="2" t="s">
        <v>11</v>
      </c>
      <c r="D300">
        <v>56</v>
      </c>
      <c r="E300" s="2" t="s">
        <v>12</v>
      </c>
      <c r="F300" s="2" t="s">
        <v>19</v>
      </c>
      <c r="G300">
        <v>128737</v>
      </c>
      <c r="H300" s="2" t="s">
        <v>14</v>
      </c>
      <c r="I300" s="3">
        <v>45200</v>
      </c>
      <c r="J300" t="s">
        <v>1032</v>
      </c>
      <c r="K300">
        <v>2</v>
      </c>
      <c r="L300" t="s">
        <v>1030</v>
      </c>
      <c r="M300" t="s">
        <v>1034</v>
      </c>
      <c r="N300">
        <v>2023</v>
      </c>
      <c r="O300" t="s">
        <v>1032</v>
      </c>
      <c r="P300">
        <v>3</v>
      </c>
    </row>
    <row r="301" spans="1:16" x14ac:dyDescent="0.3">
      <c r="A301" s="2" t="s">
        <v>623</v>
      </c>
      <c r="B301" s="2" t="s">
        <v>624</v>
      </c>
      <c r="C301" s="2" t="s">
        <v>17</v>
      </c>
      <c r="D301">
        <v>31</v>
      </c>
      <c r="E301" s="2" t="s">
        <v>34</v>
      </c>
      <c r="F301" s="2" t="s">
        <v>31</v>
      </c>
      <c r="G301">
        <v>174470</v>
      </c>
      <c r="H301" s="2" t="s">
        <v>14</v>
      </c>
      <c r="I301" s="3">
        <v>45402</v>
      </c>
      <c r="J301" t="s">
        <v>1029</v>
      </c>
      <c r="K301">
        <v>2</v>
      </c>
      <c r="L301" t="s">
        <v>1030</v>
      </c>
      <c r="M301" t="s">
        <v>1031</v>
      </c>
      <c r="N301">
        <v>2024</v>
      </c>
      <c r="O301" t="s">
        <v>1029</v>
      </c>
      <c r="P301">
        <v>2</v>
      </c>
    </row>
    <row r="302" spans="1:16" x14ac:dyDescent="0.3">
      <c r="A302" s="2" t="s">
        <v>625</v>
      </c>
      <c r="B302" s="2" t="s">
        <v>626</v>
      </c>
      <c r="C302" s="2" t="s">
        <v>11</v>
      </c>
      <c r="D302">
        <v>48</v>
      </c>
      <c r="E302" s="2" t="s">
        <v>34</v>
      </c>
      <c r="F302" s="2" t="s">
        <v>13</v>
      </c>
      <c r="G302">
        <v>70861</v>
      </c>
      <c r="H302" s="2" t="s">
        <v>14</v>
      </c>
      <c r="I302" s="3">
        <v>45334</v>
      </c>
      <c r="J302" t="s">
        <v>1032</v>
      </c>
      <c r="K302">
        <v>2</v>
      </c>
      <c r="L302" t="s">
        <v>1030</v>
      </c>
      <c r="M302" t="s">
        <v>1037</v>
      </c>
      <c r="N302">
        <v>2024</v>
      </c>
      <c r="O302" t="s">
        <v>1032</v>
      </c>
      <c r="P302">
        <v>3</v>
      </c>
    </row>
    <row r="303" spans="1:16" x14ac:dyDescent="0.3">
      <c r="A303" s="2" t="s">
        <v>627</v>
      </c>
      <c r="B303" s="2" t="s">
        <v>628</v>
      </c>
      <c r="C303" s="2" t="s">
        <v>11</v>
      </c>
      <c r="D303">
        <v>22</v>
      </c>
      <c r="E303" s="2" t="s">
        <v>34</v>
      </c>
      <c r="F303" s="2" t="s">
        <v>37</v>
      </c>
      <c r="G303">
        <v>95897</v>
      </c>
      <c r="H303" s="2" t="s">
        <v>14</v>
      </c>
      <c r="I303" s="3">
        <v>44473</v>
      </c>
      <c r="J303" t="s">
        <v>1035</v>
      </c>
      <c r="K303">
        <v>4</v>
      </c>
      <c r="L303" t="s">
        <v>1033</v>
      </c>
      <c r="M303" t="s">
        <v>1037</v>
      </c>
      <c r="N303">
        <v>2021</v>
      </c>
      <c r="O303" t="s">
        <v>1035</v>
      </c>
      <c r="P303">
        <v>1</v>
      </c>
    </row>
    <row r="304" spans="1:16" x14ac:dyDescent="0.3">
      <c r="A304" s="2" t="s">
        <v>629</v>
      </c>
      <c r="B304" s="2" t="s">
        <v>630</v>
      </c>
      <c r="C304" s="2" t="s">
        <v>11</v>
      </c>
      <c r="D304">
        <v>52</v>
      </c>
      <c r="E304" s="2" t="s">
        <v>30</v>
      </c>
      <c r="F304" s="2" t="s">
        <v>13</v>
      </c>
      <c r="G304">
        <v>147118</v>
      </c>
      <c r="H304" s="2" t="s">
        <v>20</v>
      </c>
      <c r="I304" s="3">
        <v>44957</v>
      </c>
      <c r="J304" t="s">
        <v>1032</v>
      </c>
      <c r="K304">
        <v>3</v>
      </c>
      <c r="L304" t="s">
        <v>1030</v>
      </c>
      <c r="M304" t="s">
        <v>1034</v>
      </c>
      <c r="N304">
        <v>2023</v>
      </c>
      <c r="O304" t="s">
        <v>1032</v>
      </c>
      <c r="P304">
        <v>3</v>
      </c>
    </row>
    <row r="305" spans="1:16" x14ac:dyDescent="0.3">
      <c r="A305" s="2" t="s">
        <v>631</v>
      </c>
      <c r="B305" s="2" t="s">
        <v>632</v>
      </c>
      <c r="C305" s="2" t="s">
        <v>17</v>
      </c>
      <c r="D305">
        <v>40</v>
      </c>
      <c r="E305" s="2" t="s">
        <v>18</v>
      </c>
      <c r="F305" s="2" t="s">
        <v>27</v>
      </c>
      <c r="G305">
        <v>88577</v>
      </c>
      <c r="H305" s="2" t="s">
        <v>20</v>
      </c>
      <c r="I305" s="3">
        <v>43251</v>
      </c>
      <c r="J305" t="s">
        <v>1029</v>
      </c>
      <c r="K305">
        <v>8</v>
      </c>
      <c r="L305" t="s">
        <v>1036</v>
      </c>
      <c r="M305" t="s">
        <v>1037</v>
      </c>
      <c r="N305">
        <v>2018</v>
      </c>
      <c r="O305" t="s">
        <v>1029</v>
      </c>
      <c r="P305">
        <v>2</v>
      </c>
    </row>
    <row r="306" spans="1:16" x14ac:dyDescent="0.3">
      <c r="A306" s="2" t="s">
        <v>633</v>
      </c>
      <c r="B306" s="2" t="s">
        <v>634</v>
      </c>
      <c r="C306" s="2" t="s">
        <v>17</v>
      </c>
      <c r="D306">
        <v>46</v>
      </c>
      <c r="E306" s="2" t="s">
        <v>30</v>
      </c>
      <c r="F306" s="2" t="s">
        <v>19</v>
      </c>
      <c r="G306">
        <v>29078</v>
      </c>
      <c r="H306" s="2" t="s">
        <v>20</v>
      </c>
      <c r="I306" s="3">
        <v>43041</v>
      </c>
      <c r="J306" t="s">
        <v>1032</v>
      </c>
      <c r="K306">
        <v>8</v>
      </c>
      <c r="L306" t="s">
        <v>1036</v>
      </c>
      <c r="M306" t="s">
        <v>1037</v>
      </c>
      <c r="N306">
        <v>2017</v>
      </c>
      <c r="O306" t="s">
        <v>1032</v>
      </c>
      <c r="P306">
        <v>3</v>
      </c>
    </row>
    <row r="307" spans="1:16" x14ac:dyDescent="0.3">
      <c r="A307" s="2" t="s">
        <v>635</v>
      </c>
      <c r="B307" s="2" t="s">
        <v>636</v>
      </c>
      <c r="C307" s="2" t="s">
        <v>11</v>
      </c>
      <c r="D307">
        <v>60</v>
      </c>
      <c r="E307" s="2" t="s">
        <v>12</v>
      </c>
      <c r="F307" s="2" t="s">
        <v>13</v>
      </c>
      <c r="G307">
        <v>176075</v>
      </c>
      <c r="H307" s="2" t="s">
        <v>14</v>
      </c>
      <c r="I307" s="3">
        <v>43261</v>
      </c>
      <c r="J307" t="s">
        <v>1032</v>
      </c>
      <c r="K307">
        <v>8</v>
      </c>
      <c r="L307" t="s">
        <v>1036</v>
      </c>
      <c r="M307" t="s">
        <v>1031</v>
      </c>
      <c r="N307">
        <v>2018</v>
      </c>
      <c r="O307" t="s">
        <v>1032</v>
      </c>
      <c r="P307">
        <v>3</v>
      </c>
    </row>
    <row r="308" spans="1:16" x14ac:dyDescent="0.3">
      <c r="A308" s="2" t="s">
        <v>637</v>
      </c>
      <c r="B308" s="2" t="s">
        <v>638</v>
      </c>
      <c r="C308" s="2" t="s">
        <v>17</v>
      </c>
      <c r="D308">
        <v>28</v>
      </c>
      <c r="E308" s="2" t="s">
        <v>30</v>
      </c>
      <c r="F308" s="2" t="s">
        <v>23</v>
      </c>
      <c r="G308">
        <v>82768</v>
      </c>
      <c r="H308" s="2" t="s">
        <v>14</v>
      </c>
      <c r="I308" s="3">
        <v>42293</v>
      </c>
      <c r="J308" t="s">
        <v>1035</v>
      </c>
      <c r="K308">
        <v>10</v>
      </c>
      <c r="L308" t="s">
        <v>1036</v>
      </c>
      <c r="M308" t="s">
        <v>1037</v>
      </c>
      <c r="N308">
        <v>2015</v>
      </c>
      <c r="O308" t="s">
        <v>1035</v>
      </c>
      <c r="P308">
        <v>1</v>
      </c>
    </row>
    <row r="309" spans="1:16" x14ac:dyDescent="0.3">
      <c r="A309" s="2" t="s">
        <v>639</v>
      </c>
      <c r="B309" s="2" t="s">
        <v>640</v>
      </c>
      <c r="C309" s="2" t="s">
        <v>17</v>
      </c>
      <c r="D309">
        <v>35</v>
      </c>
      <c r="E309" s="2" t="s">
        <v>12</v>
      </c>
      <c r="F309" s="2" t="s">
        <v>27</v>
      </c>
      <c r="G309">
        <v>71047</v>
      </c>
      <c r="H309" s="2" t="s">
        <v>14</v>
      </c>
      <c r="I309" s="3">
        <v>42239</v>
      </c>
      <c r="J309" t="s">
        <v>1029</v>
      </c>
      <c r="K309">
        <v>10</v>
      </c>
      <c r="L309" t="s">
        <v>1036</v>
      </c>
      <c r="M309" t="s">
        <v>1037</v>
      </c>
      <c r="N309">
        <v>2015</v>
      </c>
      <c r="O309" t="s">
        <v>1029</v>
      </c>
      <c r="P309">
        <v>2</v>
      </c>
    </row>
    <row r="310" spans="1:16" x14ac:dyDescent="0.3">
      <c r="A310" s="2" t="s">
        <v>641</v>
      </c>
      <c r="B310" s="2" t="s">
        <v>642</v>
      </c>
      <c r="C310" s="2" t="s">
        <v>17</v>
      </c>
      <c r="D310">
        <v>64</v>
      </c>
      <c r="E310" s="2" t="s">
        <v>30</v>
      </c>
      <c r="F310" s="2" t="s">
        <v>27</v>
      </c>
      <c r="G310">
        <v>91626</v>
      </c>
      <c r="H310" s="2" t="s">
        <v>14</v>
      </c>
      <c r="I310" s="3">
        <v>42506</v>
      </c>
      <c r="J310" t="s">
        <v>1038</v>
      </c>
      <c r="K310">
        <v>10</v>
      </c>
      <c r="L310" t="s">
        <v>1036</v>
      </c>
      <c r="M310" t="s">
        <v>1037</v>
      </c>
      <c r="N310">
        <v>2016</v>
      </c>
      <c r="O310" t="s">
        <v>1038</v>
      </c>
      <c r="P310">
        <v>4</v>
      </c>
    </row>
    <row r="311" spans="1:16" x14ac:dyDescent="0.3">
      <c r="A311" s="2" t="s">
        <v>643</v>
      </c>
      <c r="B311" s="2" t="s">
        <v>644</v>
      </c>
      <c r="C311" s="2" t="s">
        <v>17</v>
      </c>
      <c r="D311">
        <v>29</v>
      </c>
      <c r="E311" s="2" t="s">
        <v>18</v>
      </c>
      <c r="F311" s="2" t="s">
        <v>13</v>
      </c>
      <c r="G311">
        <v>77660</v>
      </c>
      <c r="H311" s="2" t="s">
        <v>14</v>
      </c>
      <c r="I311" s="3">
        <v>42720</v>
      </c>
      <c r="J311" t="s">
        <v>1029</v>
      </c>
      <c r="K311">
        <v>9</v>
      </c>
      <c r="L311" t="s">
        <v>1036</v>
      </c>
      <c r="M311" t="s">
        <v>1037</v>
      </c>
      <c r="N311">
        <v>2016</v>
      </c>
      <c r="O311" t="s">
        <v>1029</v>
      </c>
      <c r="P311">
        <v>2</v>
      </c>
    </row>
    <row r="312" spans="1:16" x14ac:dyDescent="0.3">
      <c r="A312" s="2" t="s">
        <v>645</v>
      </c>
      <c r="B312" s="2" t="s">
        <v>646</v>
      </c>
      <c r="C312" s="2" t="s">
        <v>17</v>
      </c>
      <c r="D312">
        <v>26</v>
      </c>
      <c r="E312" s="2" t="s">
        <v>12</v>
      </c>
      <c r="F312" s="2" t="s">
        <v>13</v>
      </c>
      <c r="G312">
        <v>152997</v>
      </c>
      <c r="H312" s="2" t="s">
        <v>20</v>
      </c>
      <c r="I312" s="3">
        <v>42861</v>
      </c>
      <c r="J312" t="s">
        <v>1035</v>
      </c>
      <c r="K312">
        <v>9</v>
      </c>
      <c r="L312" t="s">
        <v>1036</v>
      </c>
      <c r="M312" t="s">
        <v>1031</v>
      </c>
      <c r="N312">
        <v>2017</v>
      </c>
      <c r="O312" t="s">
        <v>1035</v>
      </c>
      <c r="P312">
        <v>1</v>
      </c>
    </row>
    <row r="313" spans="1:16" x14ac:dyDescent="0.3">
      <c r="A313" s="2" t="s">
        <v>647</v>
      </c>
      <c r="B313" s="2" t="s">
        <v>648</v>
      </c>
      <c r="C313" s="2" t="s">
        <v>11</v>
      </c>
      <c r="D313">
        <v>27</v>
      </c>
      <c r="E313" s="2" t="s">
        <v>34</v>
      </c>
      <c r="F313" s="2" t="s">
        <v>19</v>
      </c>
      <c r="G313">
        <v>137832</v>
      </c>
      <c r="H313" s="2" t="s">
        <v>14</v>
      </c>
      <c r="I313" s="3">
        <v>43767</v>
      </c>
      <c r="J313" t="s">
        <v>1035</v>
      </c>
      <c r="K313">
        <v>6</v>
      </c>
      <c r="L313" t="s">
        <v>1033</v>
      </c>
      <c r="M313" t="s">
        <v>1034</v>
      </c>
      <c r="N313">
        <v>2019</v>
      </c>
      <c r="O313" t="s">
        <v>1035</v>
      </c>
      <c r="P313">
        <v>1</v>
      </c>
    </row>
    <row r="314" spans="1:16" x14ac:dyDescent="0.3">
      <c r="A314" s="2" t="s">
        <v>649</v>
      </c>
      <c r="B314" s="2" t="s">
        <v>650</v>
      </c>
      <c r="C314" s="2" t="s">
        <v>17</v>
      </c>
      <c r="D314">
        <v>61</v>
      </c>
      <c r="E314" s="2" t="s">
        <v>34</v>
      </c>
      <c r="F314" s="2" t="s">
        <v>37</v>
      </c>
      <c r="G314">
        <v>150406</v>
      </c>
      <c r="H314" s="2" t="s">
        <v>14</v>
      </c>
      <c r="I314" s="3">
        <v>43566</v>
      </c>
      <c r="J314" t="s">
        <v>1038</v>
      </c>
      <c r="K314">
        <v>7</v>
      </c>
      <c r="L314" t="s">
        <v>1033</v>
      </c>
      <c r="M314" t="s">
        <v>1031</v>
      </c>
      <c r="N314">
        <v>2019</v>
      </c>
      <c r="O314" t="s">
        <v>1038</v>
      </c>
      <c r="P314">
        <v>4</v>
      </c>
    </row>
    <row r="315" spans="1:16" x14ac:dyDescent="0.3">
      <c r="A315" s="2" t="s">
        <v>651</v>
      </c>
      <c r="B315" s="2" t="s">
        <v>652</v>
      </c>
      <c r="C315" s="2" t="s">
        <v>11</v>
      </c>
      <c r="D315">
        <v>34</v>
      </c>
      <c r="E315" s="2" t="s">
        <v>30</v>
      </c>
      <c r="F315" s="2" t="s">
        <v>13</v>
      </c>
      <c r="G315">
        <v>145150</v>
      </c>
      <c r="H315" s="2" t="s">
        <v>14</v>
      </c>
      <c r="I315" s="3">
        <v>44714</v>
      </c>
      <c r="J315" t="s">
        <v>1029</v>
      </c>
      <c r="K315">
        <v>4</v>
      </c>
      <c r="L315" t="s">
        <v>1033</v>
      </c>
      <c r="M315" t="s">
        <v>1034</v>
      </c>
      <c r="N315">
        <v>2022</v>
      </c>
      <c r="O315" t="s">
        <v>1029</v>
      </c>
      <c r="P315">
        <v>2</v>
      </c>
    </row>
    <row r="316" spans="1:16" x14ac:dyDescent="0.3">
      <c r="A316" s="2" t="s">
        <v>653</v>
      </c>
      <c r="B316" s="2" t="s">
        <v>654</v>
      </c>
      <c r="C316" s="2" t="s">
        <v>11</v>
      </c>
      <c r="D316">
        <v>55</v>
      </c>
      <c r="E316" s="2" t="s">
        <v>34</v>
      </c>
      <c r="F316" s="2" t="s">
        <v>42</v>
      </c>
      <c r="G316">
        <v>177087</v>
      </c>
      <c r="H316" s="2" t="s">
        <v>14</v>
      </c>
      <c r="I316" s="3">
        <v>45794</v>
      </c>
      <c r="J316" t="s">
        <v>1032</v>
      </c>
      <c r="K316">
        <v>1</v>
      </c>
      <c r="L316" t="s">
        <v>1039</v>
      </c>
      <c r="M316" t="s">
        <v>1031</v>
      </c>
      <c r="N316">
        <v>2025</v>
      </c>
      <c r="O316" t="s">
        <v>1032</v>
      </c>
      <c r="P316">
        <v>3</v>
      </c>
    </row>
    <row r="317" spans="1:16" x14ac:dyDescent="0.3">
      <c r="A317" s="2" t="s">
        <v>655</v>
      </c>
      <c r="B317" s="2" t="s">
        <v>656</v>
      </c>
      <c r="C317" s="2" t="s">
        <v>17</v>
      </c>
      <c r="D317">
        <v>24</v>
      </c>
      <c r="E317" s="2" t="s">
        <v>12</v>
      </c>
      <c r="F317" s="2" t="s">
        <v>13</v>
      </c>
      <c r="G317">
        <v>53320</v>
      </c>
      <c r="H317" s="2" t="s">
        <v>14</v>
      </c>
      <c r="I317" s="3">
        <v>45058</v>
      </c>
      <c r="J317" t="s">
        <v>1035</v>
      </c>
      <c r="K317">
        <v>3</v>
      </c>
      <c r="L317" t="s">
        <v>1030</v>
      </c>
      <c r="M317" t="s">
        <v>1037</v>
      </c>
      <c r="N317">
        <v>2023</v>
      </c>
      <c r="O317" t="s">
        <v>1035</v>
      </c>
      <c r="P317">
        <v>1</v>
      </c>
    </row>
    <row r="318" spans="1:16" x14ac:dyDescent="0.3">
      <c r="A318" s="2" t="s">
        <v>657</v>
      </c>
      <c r="B318" s="2" t="s">
        <v>658</v>
      </c>
      <c r="C318" s="2" t="s">
        <v>11</v>
      </c>
      <c r="D318">
        <v>63</v>
      </c>
      <c r="E318" s="2" t="s">
        <v>34</v>
      </c>
      <c r="F318" s="2" t="s">
        <v>31</v>
      </c>
      <c r="G318">
        <v>84881</v>
      </c>
      <c r="H318" s="2" t="s">
        <v>24</v>
      </c>
      <c r="I318" s="3">
        <v>44650</v>
      </c>
      <c r="J318" t="s">
        <v>1038</v>
      </c>
      <c r="K318">
        <v>4</v>
      </c>
      <c r="L318" t="s">
        <v>1033</v>
      </c>
      <c r="M318" t="s">
        <v>1037</v>
      </c>
      <c r="N318">
        <v>2022</v>
      </c>
      <c r="O318" t="s">
        <v>1038</v>
      </c>
      <c r="P318">
        <v>4</v>
      </c>
    </row>
    <row r="319" spans="1:16" x14ac:dyDescent="0.3">
      <c r="A319" s="2" t="s">
        <v>659</v>
      </c>
      <c r="B319" s="2" t="s">
        <v>660</v>
      </c>
      <c r="C319" s="2" t="s">
        <v>11</v>
      </c>
      <c r="D319">
        <v>30</v>
      </c>
      <c r="E319" s="2" t="s">
        <v>18</v>
      </c>
      <c r="F319" s="2" t="s">
        <v>23</v>
      </c>
      <c r="G319">
        <v>110827</v>
      </c>
      <c r="H319" s="2" t="s">
        <v>20</v>
      </c>
      <c r="I319" s="3">
        <v>42381</v>
      </c>
      <c r="J319" t="s">
        <v>1029</v>
      </c>
      <c r="K319">
        <v>10</v>
      </c>
      <c r="L319" t="s">
        <v>1036</v>
      </c>
      <c r="M319" t="s">
        <v>1034</v>
      </c>
      <c r="N319">
        <v>2016</v>
      </c>
      <c r="O319" t="s">
        <v>1029</v>
      </c>
      <c r="P319">
        <v>2</v>
      </c>
    </row>
    <row r="320" spans="1:16" x14ac:dyDescent="0.3">
      <c r="A320" s="2" t="s">
        <v>661</v>
      </c>
      <c r="B320" s="2" t="s">
        <v>662</v>
      </c>
      <c r="C320" s="2" t="s">
        <v>11</v>
      </c>
      <c r="D320">
        <v>57</v>
      </c>
      <c r="E320" s="2" t="s">
        <v>18</v>
      </c>
      <c r="F320" s="2" t="s">
        <v>42</v>
      </c>
      <c r="G320">
        <v>122215</v>
      </c>
      <c r="H320" s="2" t="s">
        <v>24</v>
      </c>
      <c r="I320" s="3">
        <v>43637</v>
      </c>
      <c r="J320" t="s">
        <v>1032</v>
      </c>
      <c r="K320">
        <v>7</v>
      </c>
      <c r="L320" t="s">
        <v>1033</v>
      </c>
      <c r="M320" t="s">
        <v>1034</v>
      </c>
      <c r="N320">
        <v>2019</v>
      </c>
      <c r="O320" t="s">
        <v>1032</v>
      </c>
      <c r="P320">
        <v>3</v>
      </c>
    </row>
    <row r="321" spans="1:16" x14ac:dyDescent="0.3">
      <c r="A321" s="2" t="s">
        <v>663</v>
      </c>
      <c r="B321" s="2" t="s">
        <v>664</v>
      </c>
      <c r="C321" s="2" t="s">
        <v>17</v>
      </c>
      <c r="D321">
        <v>59</v>
      </c>
      <c r="E321" s="2" t="s">
        <v>30</v>
      </c>
      <c r="F321" s="2" t="s">
        <v>42</v>
      </c>
      <c r="G321">
        <v>177361</v>
      </c>
      <c r="H321" s="2" t="s">
        <v>14</v>
      </c>
      <c r="I321" s="3">
        <v>45185</v>
      </c>
      <c r="J321" t="s">
        <v>1032</v>
      </c>
      <c r="K321">
        <v>2</v>
      </c>
      <c r="L321" t="s">
        <v>1030</v>
      </c>
      <c r="M321" t="s">
        <v>1031</v>
      </c>
      <c r="N321">
        <v>2023</v>
      </c>
      <c r="O321" t="s">
        <v>1032</v>
      </c>
      <c r="P321">
        <v>3</v>
      </c>
    </row>
    <row r="322" spans="1:16" x14ac:dyDescent="0.3">
      <c r="A322" s="2" t="s">
        <v>665</v>
      </c>
      <c r="B322" s="2" t="s">
        <v>666</v>
      </c>
      <c r="C322" s="2" t="s">
        <v>17</v>
      </c>
      <c r="D322">
        <v>26</v>
      </c>
      <c r="E322" s="2" t="s">
        <v>12</v>
      </c>
      <c r="F322" s="2" t="s">
        <v>31</v>
      </c>
      <c r="G322">
        <v>154461</v>
      </c>
      <c r="H322" s="2" t="s">
        <v>14</v>
      </c>
      <c r="I322" s="3">
        <v>44900</v>
      </c>
      <c r="J322" t="s">
        <v>1035</v>
      </c>
      <c r="K322">
        <v>3</v>
      </c>
      <c r="L322" t="s">
        <v>1030</v>
      </c>
      <c r="M322" t="s">
        <v>1031</v>
      </c>
      <c r="N322">
        <v>2022</v>
      </c>
      <c r="O322" t="s">
        <v>1035</v>
      </c>
      <c r="P322">
        <v>1</v>
      </c>
    </row>
    <row r="323" spans="1:16" x14ac:dyDescent="0.3">
      <c r="A323" s="2" t="s">
        <v>667</v>
      </c>
      <c r="B323" s="2" t="s">
        <v>668</v>
      </c>
      <c r="C323" s="2" t="s">
        <v>11</v>
      </c>
      <c r="D323">
        <v>67</v>
      </c>
      <c r="E323" s="2" t="s">
        <v>18</v>
      </c>
      <c r="F323" s="2" t="s">
        <v>31</v>
      </c>
      <c r="G323">
        <v>176755</v>
      </c>
      <c r="H323" s="2" t="s">
        <v>14</v>
      </c>
      <c r="I323" s="3">
        <v>43613</v>
      </c>
      <c r="J323" t="s">
        <v>1038</v>
      </c>
      <c r="K323">
        <v>7</v>
      </c>
      <c r="L323" t="s">
        <v>1033</v>
      </c>
      <c r="M323" t="s">
        <v>1031</v>
      </c>
      <c r="N323">
        <v>2019</v>
      </c>
      <c r="O323" t="s">
        <v>1038</v>
      </c>
      <c r="P323">
        <v>4</v>
      </c>
    </row>
    <row r="324" spans="1:16" x14ac:dyDescent="0.3">
      <c r="A324" s="2" t="s">
        <v>669</v>
      </c>
      <c r="B324" s="2" t="s">
        <v>670</v>
      </c>
      <c r="C324" s="2" t="s">
        <v>17</v>
      </c>
      <c r="D324">
        <v>44</v>
      </c>
      <c r="E324" s="2" t="s">
        <v>18</v>
      </c>
      <c r="F324" s="2" t="s">
        <v>27</v>
      </c>
      <c r="G324">
        <v>164701</v>
      </c>
      <c r="H324" s="2" t="s">
        <v>14</v>
      </c>
      <c r="I324" s="3">
        <v>43365</v>
      </c>
      <c r="J324" t="s">
        <v>1029</v>
      </c>
      <c r="K324">
        <v>7</v>
      </c>
      <c r="L324" t="s">
        <v>1033</v>
      </c>
      <c r="M324" t="s">
        <v>1031</v>
      </c>
      <c r="N324">
        <v>2018</v>
      </c>
      <c r="O324" t="s">
        <v>1029</v>
      </c>
      <c r="P324">
        <v>2</v>
      </c>
    </row>
    <row r="325" spans="1:16" x14ac:dyDescent="0.3">
      <c r="A325" s="2" t="s">
        <v>671</v>
      </c>
      <c r="B325" s="2" t="s">
        <v>672</v>
      </c>
      <c r="C325" s="2" t="s">
        <v>17</v>
      </c>
      <c r="D325">
        <v>19</v>
      </c>
      <c r="E325" s="2" t="s">
        <v>12</v>
      </c>
      <c r="F325" s="2" t="s">
        <v>37</v>
      </c>
      <c r="G325">
        <v>81550</v>
      </c>
      <c r="H325" s="2" t="s">
        <v>20</v>
      </c>
      <c r="I325" s="3">
        <v>42817</v>
      </c>
      <c r="J325" t="s">
        <v>1035</v>
      </c>
      <c r="K325">
        <v>9</v>
      </c>
      <c r="L325" t="s">
        <v>1036</v>
      </c>
      <c r="M325" t="s">
        <v>1037</v>
      </c>
      <c r="N325">
        <v>2017</v>
      </c>
      <c r="O325" t="s">
        <v>1035</v>
      </c>
      <c r="P325">
        <v>1</v>
      </c>
    </row>
    <row r="326" spans="1:16" x14ac:dyDescent="0.3">
      <c r="A326" s="2" t="s">
        <v>673</v>
      </c>
      <c r="B326" s="2" t="s">
        <v>674</v>
      </c>
      <c r="C326" s="2" t="s">
        <v>17</v>
      </c>
      <c r="D326">
        <v>22</v>
      </c>
      <c r="E326" s="2" t="s">
        <v>34</v>
      </c>
      <c r="F326" s="2" t="s">
        <v>23</v>
      </c>
      <c r="G326">
        <v>44826</v>
      </c>
      <c r="H326" s="2" t="s">
        <v>14</v>
      </c>
      <c r="I326" s="3">
        <v>44640</v>
      </c>
      <c r="J326" t="s">
        <v>1035</v>
      </c>
      <c r="K326">
        <v>4</v>
      </c>
      <c r="L326" t="s">
        <v>1033</v>
      </c>
      <c r="M326" t="s">
        <v>1037</v>
      </c>
      <c r="N326">
        <v>2022</v>
      </c>
      <c r="O326" t="s">
        <v>1035</v>
      </c>
      <c r="P326">
        <v>1</v>
      </c>
    </row>
    <row r="327" spans="1:16" x14ac:dyDescent="0.3">
      <c r="A327" s="2" t="s">
        <v>675</v>
      </c>
      <c r="B327" s="2" t="s">
        <v>676</v>
      </c>
      <c r="C327" s="2" t="s">
        <v>17</v>
      </c>
      <c r="D327">
        <v>46</v>
      </c>
      <c r="E327" s="2" t="s">
        <v>34</v>
      </c>
      <c r="F327" s="2" t="s">
        <v>19</v>
      </c>
      <c r="G327">
        <v>120734</v>
      </c>
      <c r="H327" s="2" t="s">
        <v>14</v>
      </c>
      <c r="I327" s="3">
        <v>43847</v>
      </c>
      <c r="J327" t="s">
        <v>1032</v>
      </c>
      <c r="K327">
        <v>6</v>
      </c>
      <c r="L327" t="s">
        <v>1033</v>
      </c>
      <c r="M327" t="s">
        <v>1034</v>
      </c>
      <c r="N327">
        <v>2020</v>
      </c>
      <c r="O327" t="s">
        <v>1032</v>
      </c>
      <c r="P327">
        <v>3</v>
      </c>
    </row>
    <row r="328" spans="1:16" x14ac:dyDescent="0.3">
      <c r="A328" s="2" t="s">
        <v>677</v>
      </c>
      <c r="B328" s="2" t="s">
        <v>678</v>
      </c>
      <c r="C328" s="2" t="s">
        <v>11</v>
      </c>
      <c r="D328">
        <v>54</v>
      </c>
      <c r="E328" s="2" t="s">
        <v>30</v>
      </c>
      <c r="F328" s="2" t="s">
        <v>42</v>
      </c>
      <c r="G328">
        <v>177702</v>
      </c>
      <c r="H328" s="2" t="s">
        <v>14</v>
      </c>
      <c r="I328" s="3">
        <v>45127</v>
      </c>
      <c r="J328" t="s">
        <v>1032</v>
      </c>
      <c r="K328">
        <v>2</v>
      </c>
      <c r="L328" t="s">
        <v>1030</v>
      </c>
      <c r="M328" t="s">
        <v>1031</v>
      </c>
      <c r="N328">
        <v>2023</v>
      </c>
      <c r="O328" t="s">
        <v>1032</v>
      </c>
      <c r="P328">
        <v>3</v>
      </c>
    </row>
    <row r="329" spans="1:16" x14ac:dyDescent="0.3">
      <c r="A329" s="2" t="s">
        <v>679</v>
      </c>
      <c r="B329" s="2" t="s">
        <v>680</v>
      </c>
      <c r="C329" s="2" t="s">
        <v>11</v>
      </c>
      <c r="D329">
        <v>55</v>
      </c>
      <c r="E329" s="2" t="s">
        <v>34</v>
      </c>
      <c r="F329" s="2" t="s">
        <v>19</v>
      </c>
      <c r="G329">
        <v>197235</v>
      </c>
      <c r="H329" s="2" t="s">
        <v>14</v>
      </c>
      <c r="I329" s="3">
        <v>44461</v>
      </c>
      <c r="J329" t="s">
        <v>1032</v>
      </c>
      <c r="K329">
        <v>4</v>
      </c>
      <c r="L329" t="s">
        <v>1033</v>
      </c>
      <c r="M329" t="s">
        <v>1031</v>
      </c>
      <c r="N329">
        <v>2021</v>
      </c>
      <c r="O329" t="s">
        <v>1032</v>
      </c>
      <c r="P329">
        <v>3</v>
      </c>
    </row>
    <row r="330" spans="1:16" x14ac:dyDescent="0.3">
      <c r="A330" s="2" t="s">
        <v>681</v>
      </c>
      <c r="B330" s="2" t="s">
        <v>682</v>
      </c>
      <c r="C330" s="2" t="s">
        <v>17</v>
      </c>
      <c r="D330">
        <v>36</v>
      </c>
      <c r="E330" s="2" t="s">
        <v>12</v>
      </c>
      <c r="F330" s="2" t="s">
        <v>13</v>
      </c>
      <c r="G330">
        <v>118511</v>
      </c>
      <c r="H330" s="2" t="s">
        <v>20</v>
      </c>
      <c r="I330" s="3">
        <v>44791</v>
      </c>
      <c r="J330" t="s">
        <v>1029</v>
      </c>
      <c r="K330">
        <v>3</v>
      </c>
      <c r="L330" t="s">
        <v>1030</v>
      </c>
      <c r="M330" t="s">
        <v>1034</v>
      </c>
      <c r="N330">
        <v>2022</v>
      </c>
      <c r="O330" t="s">
        <v>1029</v>
      </c>
      <c r="P330">
        <v>2</v>
      </c>
    </row>
    <row r="331" spans="1:16" x14ac:dyDescent="0.3">
      <c r="A331" s="2" t="s">
        <v>683</v>
      </c>
      <c r="B331" s="2" t="s">
        <v>684</v>
      </c>
      <c r="C331" s="2" t="s">
        <v>17</v>
      </c>
      <c r="D331">
        <v>25</v>
      </c>
      <c r="E331" s="2" t="s">
        <v>18</v>
      </c>
      <c r="F331" s="2" t="s">
        <v>13</v>
      </c>
      <c r="G331">
        <v>31653</v>
      </c>
      <c r="H331" s="2" t="s">
        <v>14</v>
      </c>
      <c r="I331" s="3">
        <v>42830</v>
      </c>
      <c r="J331" t="s">
        <v>1035</v>
      </c>
      <c r="K331">
        <v>9</v>
      </c>
      <c r="L331" t="s">
        <v>1036</v>
      </c>
      <c r="M331" t="s">
        <v>1037</v>
      </c>
      <c r="N331">
        <v>2017</v>
      </c>
      <c r="O331" t="s">
        <v>1035</v>
      </c>
      <c r="P331">
        <v>1</v>
      </c>
    </row>
    <row r="332" spans="1:16" x14ac:dyDescent="0.3">
      <c r="A332" s="2" t="s">
        <v>685</v>
      </c>
      <c r="B332" s="2" t="s">
        <v>686</v>
      </c>
      <c r="C332" s="2" t="s">
        <v>11</v>
      </c>
      <c r="D332">
        <v>65</v>
      </c>
      <c r="E332" s="2" t="s">
        <v>34</v>
      </c>
      <c r="F332" s="2" t="s">
        <v>19</v>
      </c>
      <c r="G332">
        <v>179033</v>
      </c>
      <c r="H332" s="2" t="s">
        <v>14</v>
      </c>
      <c r="I332" s="3">
        <v>43776</v>
      </c>
      <c r="J332" t="s">
        <v>1038</v>
      </c>
      <c r="K332">
        <v>6</v>
      </c>
      <c r="L332" t="s">
        <v>1033</v>
      </c>
      <c r="M332" t="s">
        <v>1031</v>
      </c>
      <c r="N332">
        <v>2019</v>
      </c>
      <c r="O332" t="s">
        <v>1038</v>
      </c>
      <c r="P332">
        <v>4</v>
      </c>
    </row>
    <row r="333" spans="1:16" x14ac:dyDescent="0.3">
      <c r="A333" s="2" t="s">
        <v>687</v>
      </c>
      <c r="B333" s="2" t="s">
        <v>688</v>
      </c>
      <c r="C333" s="2" t="s">
        <v>11</v>
      </c>
      <c r="D333">
        <v>62</v>
      </c>
      <c r="E333" s="2" t="s">
        <v>30</v>
      </c>
      <c r="F333" s="2" t="s">
        <v>13</v>
      </c>
      <c r="G333">
        <v>101941</v>
      </c>
      <c r="H333" s="2" t="s">
        <v>14</v>
      </c>
      <c r="I333" s="3">
        <v>44448</v>
      </c>
      <c r="J333" t="s">
        <v>1038</v>
      </c>
      <c r="K333">
        <v>4</v>
      </c>
      <c r="L333" t="s">
        <v>1033</v>
      </c>
      <c r="M333" t="s">
        <v>1034</v>
      </c>
      <c r="N333">
        <v>2021</v>
      </c>
      <c r="O333" t="s">
        <v>1038</v>
      </c>
      <c r="P333">
        <v>4</v>
      </c>
    </row>
    <row r="334" spans="1:16" x14ac:dyDescent="0.3">
      <c r="A334" s="2" t="s">
        <v>689</v>
      </c>
      <c r="B334" s="2" t="s">
        <v>690</v>
      </c>
      <c r="C334" s="2" t="s">
        <v>17</v>
      </c>
      <c r="D334">
        <v>18</v>
      </c>
      <c r="E334" s="2" t="s">
        <v>34</v>
      </c>
      <c r="F334" s="2" t="s">
        <v>37</v>
      </c>
      <c r="G334">
        <v>53662</v>
      </c>
      <c r="H334" s="2" t="s">
        <v>14</v>
      </c>
      <c r="I334" s="3">
        <v>42347</v>
      </c>
      <c r="J334" t="s">
        <v>1035</v>
      </c>
      <c r="K334">
        <v>10</v>
      </c>
      <c r="L334" t="s">
        <v>1036</v>
      </c>
      <c r="M334" t="s">
        <v>1037</v>
      </c>
      <c r="N334">
        <v>2015</v>
      </c>
      <c r="O334" t="s">
        <v>1035</v>
      </c>
      <c r="P334">
        <v>1</v>
      </c>
    </row>
    <row r="335" spans="1:16" x14ac:dyDescent="0.3">
      <c r="A335" s="2" t="s">
        <v>691</v>
      </c>
      <c r="B335" s="2" t="s">
        <v>692</v>
      </c>
      <c r="C335" s="2" t="s">
        <v>11</v>
      </c>
      <c r="D335">
        <v>39</v>
      </c>
      <c r="E335" s="2" t="s">
        <v>12</v>
      </c>
      <c r="F335" s="2" t="s">
        <v>31</v>
      </c>
      <c r="G335">
        <v>118818</v>
      </c>
      <c r="H335" s="2" t="s">
        <v>20</v>
      </c>
      <c r="I335" s="3">
        <v>43494</v>
      </c>
      <c r="J335" t="s">
        <v>1029</v>
      </c>
      <c r="K335">
        <v>7</v>
      </c>
      <c r="L335" t="s">
        <v>1033</v>
      </c>
      <c r="M335" t="s">
        <v>1034</v>
      </c>
      <c r="N335">
        <v>2019</v>
      </c>
      <c r="O335" t="s">
        <v>1029</v>
      </c>
      <c r="P335">
        <v>2</v>
      </c>
    </row>
    <row r="336" spans="1:16" x14ac:dyDescent="0.3">
      <c r="A336" s="2" t="s">
        <v>693</v>
      </c>
      <c r="B336" s="2" t="s">
        <v>694</v>
      </c>
      <c r="C336" s="2" t="s">
        <v>17</v>
      </c>
      <c r="D336">
        <v>69</v>
      </c>
      <c r="E336" s="2" t="s">
        <v>30</v>
      </c>
      <c r="F336" s="2" t="s">
        <v>13</v>
      </c>
      <c r="G336">
        <v>172360</v>
      </c>
      <c r="H336" s="2" t="s">
        <v>20</v>
      </c>
      <c r="I336" s="3">
        <v>44573</v>
      </c>
      <c r="J336" t="s">
        <v>1038</v>
      </c>
      <c r="K336">
        <v>4</v>
      </c>
      <c r="L336" t="s">
        <v>1033</v>
      </c>
      <c r="M336" t="s">
        <v>1031</v>
      </c>
      <c r="N336">
        <v>2022</v>
      </c>
      <c r="O336" t="s">
        <v>1038</v>
      </c>
      <c r="P336">
        <v>4</v>
      </c>
    </row>
    <row r="337" spans="1:16" x14ac:dyDescent="0.3">
      <c r="A337" s="2" t="s">
        <v>695</v>
      </c>
      <c r="B337" s="2" t="s">
        <v>696</v>
      </c>
      <c r="C337" s="2" t="s">
        <v>17</v>
      </c>
      <c r="D337">
        <v>34</v>
      </c>
      <c r="E337" s="2" t="s">
        <v>34</v>
      </c>
      <c r="F337" s="2" t="s">
        <v>27</v>
      </c>
      <c r="G337">
        <v>115081</v>
      </c>
      <c r="H337" s="2" t="s">
        <v>24</v>
      </c>
      <c r="I337" s="3">
        <v>42817</v>
      </c>
      <c r="J337" t="s">
        <v>1029</v>
      </c>
      <c r="K337">
        <v>9</v>
      </c>
      <c r="L337" t="s">
        <v>1036</v>
      </c>
      <c r="M337" t="s">
        <v>1034</v>
      </c>
      <c r="N337">
        <v>2017</v>
      </c>
      <c r="O337" t="s">
        <v>1029</v>
      </c>
      <c r="P337">
        <v>2</v>
      </c>
    </row>
    <row r="338" spans="1:16" x14ac:dyDescent="0.3">
      <c r="A338" s="2" t="s">
        <v>697</v>
      </c>
      <c r="B338" s="2" t="s">
        <v>698</v>
      </c>
      <c r="C338" s="2" t="s">
        <v>11</v>
      </c>
      <c r="D338">
        <v>24</v>
      </c>
      <c r="E338" s="2" t="s">
        <v>30</v>
      </c>
      <c r="F338" s="2" t="s">
        <v>13</v>
      </c>
      <c r="G338">
        <v>56877</v>
      </c>
      <c r="H338" s="2" t="s">
        <v>20</v>
      </c>
      <c r="I338" s="3">
        <v>45877</v>
      </c>
      <c r="J338" t="s">
        <v>1035</v>
      </c>
      <c r="K338">
        <v>0</v>
      </c>
      <c r="L338" t="s">
        <v>1039</v>
      </c>
      <c r="M338" t="s">
        <v>1037</v>
      </c>
      <c r="N338">
        <v>2025</v>
      </c>
      <c r="O338" t="s">
        <v>1035</v>
      </c>
      <c r="P338">
        <v>1</v>
      </c>
    </row>
    <row r="339" spans="1:16" x14ac:dyDescent="0.3">
      <c r="A339" s="2" t="s">
        <v>699</v>
      </c>
      <c r="B339" s="2" t="s">
        <v>700</v>
      </c>
      <c r="C339" s="2" t="s">
        <v>11</v>
      </c>
      <c r="D339">
        <v>42</v>
      </c>
      <c r="E339" s="2" t="s">
        <v>12</v>
      </c>
      <c r="F339" s="2" t="s">
        <v>23</v>
      </c>
      <c r="G339">
        <v>131562</v>
      </c>
      <c r="H339" s="2" t="s">
        <v>14</v>
      </c>
      <c r="I339" s="3">
        <v>44868</v>
      </c>
      <c r="J339" t="s">
        <v>1029</v>
      </c>
      <c r="K339">
        <v>3</v>
      </c>
      <c r="L339" t="s">
        <v>1030</v>
      </c>
      <c r="M339" t="s">
        <v>1034</v>
      </c>
      <c r="N339">
        <v>2022</v>
      </c>
      <c r="O339" t="s">
        <v>1029</v>
      </c>
      <c r="P339">
        <v>2</v>
      </c>
    </row>
    <row r="340" spans="1:16" x14ac:dyDescent="0.3">
      <c r="A340" s="2" t="s">
        <v>701</v>
      </c>
      <c r="B340" s="2" t="s">
        <v>702</v>
      </c>
      <c r="C340" s="2" t="s">
        <v>17</v>
      </c>
      <c r="D340">
        <v>62</v>
      </c>
      <c r="E340" s="2" t="s">
        <v>18</v>
      </c>
      <c r="F340" s="2" t="s">
        <v>37</v>
      </c>
      <c r="G340">
        <v>166385</v>
      </c>
      <c r="H340" s="2" t="s">
        <v>20</v>
      </c>
      <c r="I340" s="3">
        <v>43280</v>
      </c>
      <c r="J340" t="s">
        <v>1038</v>
      </c>
      <c r="K340">
        <v>8</v>
      </c>
      <c r="L340" t="s">
        <v>1036</v>
      </c>
      <c r="M340" t="s">
        <v>1031</v>
      </c>
      <c r="N340">
        <v>2018</v>
      </c>
      <c r="O340" t="s">
        <v>1038</v>
      </c>
      <c r="P340">
        <v>4</v>
      </c>
    </row>
    <row r="341" spans="1:16" x14ac:dyDescent="0.3">
      <c r="A341" s="2" t="s">
        <v>703</v>
      </c>
      <c r="B341" s="2" t="s">
        <v>704</v>
      </c>
      <c r="C341" s="2" t="s">
        <v>17</v>
      </c>
      <c r="D341">
        <v>21</v>
      </c>
      <c r="E341" s="2" t="s">
        <v>12</v>
      </c>
      <c r="F341" s="2" t="s">
        <v>23</v>
      </c>
      <c r="G341">
        <v>92715</v>
      </c>
      <c r="H341" s="2" t="s">
        <v>14</v>
      </c>
      <c r="I341" s="3">
        <v>42927</v>
      </c>
      <c r="J341" t="s">
        <v>1035</v>
      </c>
      <c r="K341">
        <v>8</v>
      </c>
      <c r="L341" t="s">
        <v>1036</v>
      </c>
      <c r="M341" t="s">
        <v>1037</v>
      </c>
      <c r="N341">
        <v>2017</v>
      </c>
      <c r="O341" t="s">
        <v>1035</v>
      </c>
      <c r="P341">
        <v>1</v>
      </c>
    </row>
    <row r="342" spans="1:16" x14ac:dyDescent="0.3">
      <c r="A342" s="2" t="s">
        <v>705</v>
      </c>
      <c r="B342" s="2" t="s">
        <v>706</v>
      </c>
      <c r="C342" s="2" t="s">
        <v>11</v>
      </c>
      <c r="D342">
        <v>53</v>
      </c>
      <c r="E342" s="2" t="s">
        <v>12</v>
      </c>
      <c r="F342" s="2" t="s">
        <v>23</v>
      </c>
      <c r="G342">
        <v>161398</v>
      </c>
      <c r="H342" s="2" t="s">
        <v>14</v>
      </c>
      <c r="I342" s="3">
        <v>43009</v>
      </c>
      <c r="J342" t="s">
        <v>1032</v>
      </c>
      <c r="K342">
        <v>8</v>
      </c>
      <c r="L342" t="s">
        <v>1036</v>
      </c>
      <c r="M342" t="s">
        <v>1031</v>
      </c>
      <c r="N342">
        <v>2017</v>
      </c>
      <c r="O342" t="s">
        <v>1032</v>
      </c>
      <c r="P342">
        <v>3</v>
      </c>
    </row>
    <row r="343" spans="1:16" x14ac:dyDescent="0.3">
      <c r="A343" s="2" t="s">
        <v>707</v>
      </c>
      <c r="B343" s="2" t="s">
        <v>708</v>
      </c>
      <c r="C343" s="2" t="s">
        <v>17</v>
      </c>
      <c r="D343">
        <v>23</v>
      </c>
      <c r="E343" s="2" t="s">
        <v>12</v>
      </c>
      <c r="F343" s="2" t="s">
        <v>27</v>
      </c>
      <c r="G343">
        <v>130091</v>
      </c>
      <c r="H343" s="2" t="s">
        <v>20</v>
      </c>
      <c r="I343" s="3">
        <v>45017</v>
      </c>
      <c r="J343" t="s">
        <v>1035</v>
      </c>
      <c r="K343">
        <v>3</v>
      </c>
      <c r="L343" t="s">
        <v>1030</v>
      </c>
      <c r="M343" t="s">
        <v>1034</v>
      </c>
      <c r="N343">
        <v>2023</v>
      </c>
      <c r="O343" t="s">
        <v>1035</v>
      </c>
      <c r="P343">
        <v>1</v>
      </c>
    </row>
    <row r="344" spans="1:16" x14ac:dyDescent="0.3">
      <c r="A344" s="2" t="s">
        <v>709</v>
      </c>
      <c r="B344" s="2" t="s">
        <v>710</v>
      </c>
      <c r="C344" s="2" t="s">
        <v>11</v>
      </c>
      <c r="D344">
        <v>48</v>
      </c>
      <c r="E344" s="2" t="s">
        <v>12</v>
      </c>
      <c r="F344" s="2" t="s">
        <v>37</v>
      </c>
      <c r="G344">
        <v>152632</v>
      </c>
      <c r="H344" s="2" t="s">
        <v>14</v>
      </c>
      <c r="I344" s="3">
        <v>43154</v>
      </c>
      <c r="J344" t="s">
        <v>1032</v>
      </c>
      <c r="K344">
        <v>8</v>
      </c>
      <c r="L344" t="s">
        <v>1036</v>
      </c>
      <c r="M344" t="s">
        <v>1031</v>
      </c>
      <c r="N344">
        <v>2018</v>
      </c>
      <c r="O344" t="s">
        <v>1032</v>
      </c>
      <c r="P344">
        <v>3</v>
      </c>
    </row>
    <row r="345" spans="1:16" x14ac:dyDescent="0.3">
      <c r="A345" s="2" t="s">
        <v>711</v>
      </c>
      <c r="B345" s="2" t="s">
        <v>712</v>
      </c>
      <c r="C345" s="2" t="s">
        <v>17</v>
      </c>
      <c r="D345">
        <v>36</v>
      </c>
      <c r="E345" s="2" t="s">
        <v>18</v>
      </c>
      <c r="F345" s="2" t="s">
        <v>37</v>
      </c>
      <c r="G345">
        <v>99148</v>
      </c>
      <c r="H345" s="2" t="s">
        <v>24</v>
      </c>
      <c r="I345" s="3">
        <v>43052</v>
      </c>
      <c r="J345" t="s">
        <v>1029</v>
      </c>
      <c r="K345">
        <v>8</v>
      </c>
      <c r="L345" t="s">
        <v>1036</v>
      </c>
      <c r="M345" t="s">
        <v>1037</v>
      </c>
      <c r="N345">
        <v>2017</v>
      </c>
      <c r="O345" t="s">
        <v>1029</v>
      </c>
      <c r="P345">
        <v>2</v>
      </c>
    </row>
    <row r="346" spans="1:16" x14ac:dyDescent="0.3">
      <c r="A346" s="2" t="s">
        <v>713</v>
      </c>
      <c r="B346" s="2" t="s">
        <v>714</v>
      </c>
      <c r="C346" s="2" t="s">
        <v>11</v>
      </c>
      <c r="D346">
        <v>61</v>
      </c>
      <c r="E346" s="2" t="s">
        <v>18</v>
      </c>
      <c r="F346" s="2" t="s">
        <v>37</v>
      </c>
      <c r="G346">
        <v>103186</v>
      </c>
      <c r="H346" s="2" t="s">
        <v>14</v>
      </c>
      <c r="I346" s="3">
        <v>43704</v>
      </c>
      <c r="J346" t="s">
        <v>1038</v>
      </c>
      <c r="K346">
        <v>6</v>
      </c>
      <c r="L346" t="s">
        <v>1033</v>
      </c>
      <c r="M346" t="s">
        <v>1034</v>
      </c>
      <c r="N346">
        <v>2019</v>
      </c>
      <c r="O346" t="s">
        <v>1038</v>
      </c>
      <c r="P346">
        <v>4</v>
      </c>
    </row>
    <row r="347" spans="1:16" x14ac:dyDescent="0.3">
      <c r="A347" s="2" t="s">
        <v>715</v>
      </c>
      <c r="B347" s="2" t="s">
        <v>716</v>
      </c>
      <c r="C347" s="2" t="s">
        <v>11</v>
      </c>
      <c r="D347">
        <v>71</v>
      </c>
      <c r="E347" s="2" t="s">
        <v>30</v>
      </c>
      <c r="F347" s="2" t="s">
        <v>37</v>
      </c>
      <c r="G347">
        <v>177817</v>
      </c>
      <c r="H347" s="2" t="s">
        <v>20</v>
      </c>
      <c r="I347" s="3">
        <v>44709</v>
      </c>
      <c r="J347" t="s">
        <v>1038</v>
      </c>
      <c r="K347">
        <v>4</v>
      </c>
      <c r="L347" t="s">
        <v>1033</v>
      </c>
      <c r="M347" t="s">
        <v>1031</v>
      </c>
      <c r="N347">
        <v>2022</v>
      </c>
      <c r="O347" t="s">
        <v>1038</v>
      </c>
      <c r="P347">
        <v>4</v>
      </c>
    </row>
    <row r="348" spans="1:16" x14ac:dyDescent="0.3">
      <c r="A348" s="2" t="s">
        <v>717</v>
      </c>
      <c r="B348" s="2" t="s">
        <v>718</v>
      </c>
      <c r="C348" s="2" t="s">
        <v>11</v>
      </c>
      <c r="D348">
        <v>56</v>
      </c>
      <c r="E348" s="2" t="s">
        <v>34</v>
      </c>
      <c r="F348" s="2" t="s">
        <v>37</v>
      </c>
      <c r="G348">
        <v>182962</v>
      </c>
      <c r="H348" s="2" t="s">
        <v>20</v>
      </c>
      <c r="I348" s="3">
        <v>45560</v>
      </c>
      <c r="J348" t="s">
        <v>1032</v>
      </c>
      <c r="K348">
        <v>1</v>
      </c>
      <c r="L348" t="s">
        <v>1039</v>
      </c>
      <c r="M348" t="s">
        <v>1031</v>
      </c>
      <c r="N348">
        <v>2024</v>
      </c>
      <c r="O348" t="s">
        <v>1032</v>
      </c>
      <c r="P348">
        <v>3</v>
      </c>
    </row>
    <row r="349" spans="1:16" x14ac:dyDescent="0.3">
      <c r="A349" s="2" t="s">
        <v>719</v>
      </c>
      <c r="B349" s="2" t="s">
        <v>720</v>
      </c>
      <c r="C349" s="2" t="s">
        <v>17</v>
      </c>
      <c r="D349">
        <v>44</v>
      </c>
      <c r="E349" s="2" t="s">
        <v>18</v>
      </c>
      <c r="F349" s="2" t="s">
        <v>27</v>
      </c>
      <c r="G349">
        <v>171094</v>
      </c>
      <c r="H349" s="2" t="s">
        <v>20</v>
      </c>
      <c r="I349" s="3">
        <v>43485</v>
      </c>
      <c r="J349" t="s">
        <v>1029</v>
      </c>
      <c r="K349">
        <v>7</v>
      </c>
      <c r="L349" t="s">
        <v>1033</v>
      </c>
      <c r="M349" t="s">
        <v>1031</v>
      </c>
      <c r="N349">
        <v>2019</v>
      </c>
      <c r="O349" t="s">
        <v>1029</v>
      </c>
      <c r="P349">
        <v>2</v>
      </c>
    </row>
    <row r="350" spans="1:16" x14ac:dyDescent="0.3">
      <c r="A350" s="2" t="s">
        <v>721</v>
      </c>
      <c r="B350" s="2" t="s">
        <v>722</v>
      </c>
      <c r="C350" s="2" t="s">
        <v>17</v>
      </c>
      <c r="D350">
        <v>27</v>
      </c>
      <c r="E350" s="2" t="s">
        <v>18</v>
      </c>
      <c r="F350" s="2" t="s">
        <v>13</v>
      </c>
      <c r="G350">
        <v>143629</v>
      </c>
      <c r="H350" s="2" t="s">
        <v>20</v>
      </c>
      <c r="I350" s="3">
        <v>45888</v>
      </c>
      <c r="J350" t="s">
        <v>1035</v>
      </c>
      <c r="K350">
        <v>0</v>
      </c>
      <c r="L350" t="s">
        <v>1039</v>
      </c>
      <c r="M350" t="s">
        <v>1034</v>
      </c>
      <c r="N350">
        <v>2025</v>
      </c>
      <c r="O350" t="s">
        <v>1035</v>
      </c>
      <c r="P350">
        <v>1</v>
      </c>
    </row>
    <row r="351" spans="1:16" x14ac:dyDescent="0.3">
      <c r="A351" s="2" t="s">
        <v>723</v>
      </c>
      <c r="B351" s="2" t="s">
        <v>724</v>
      </c>
      <c r="C351" s="2" t="s">
        <v>11</v>
      </c>
      <c r="D351">
        <v>43</v>
      </c>
      <c r="E351" s="2" t="s">
        <v>34</v>
      </c>
      <c r="F351" s="2" t="s">
        <v>23</v>
      </c>
      <c r="G351">
        <v>90316</v>
      </c>
      <c r="H351" s="2" t="s">
        <v>20</v>
      </c>
      <c r="I351" s="3">
        <v>44926</v>
      </c>
      <c r="J351" t="s">
        <v>1029</v>
      </c>
      <c r="K351">
        <v>3</v>
      </c>
      <c r="L351" t="s">
        <v>1030</v>
      </c>
      <c r="M351" t="s">
        <v>1037</v>
      </c>
      <c r="N351">
        <v>2022</v>
      </c>
      <c r="O351" t="s">
        <v>1029</v>
      </c>
      <c r="P351">
        <v>2</v>
      </c>
    </row>
    <row r="352" spans="1:16" x14ac:dyDescent="0.3">
      <c r="A352" s="2" t="s">
        <v>725</v>
      </c>
      <c r="B352" s="2" t="s">
        <v>726</v>
      </c>
      <c r="C352" s="2" t="s">
        <v>17</v>
      </c>
      <c r="D352">
        <v>36</v>
      </c>
      <c r="E352" s="2" t="s">
        <v>18</v>
      </c>
      <c r="F352" s="2" t="s">
        <v>37</v>
      </c>
      <c r="G352">
        <v>48380</v>
      </c>
      <c r="H352" s="2" t="s">
        <v>14</v>
      </c>
      <c r="I352" s="3">
        <v>44241</v>
      </c>
      <c r="J352" t="s">
        <v>1029</v>
      </c>
      <c r="K352">
        <v>5</v>
      </c>
      <c r="L352" t="s">
        <v>1033</v>
      </c>
      <c r="M352" t="s">
        <v>1037</v>
      </c>
      <c r="N352">
        <v>2021</v>
      </c>
      <c r="O352" t="s">
        <v>1029</v>
      </c>
      <c r="P352">
        <v>2</v>
      </c>
    </row>
    <row r="353" spans="1:16" x14ac:dyDescent="0.3">
      <c r="A353" s="2" t="s">
        <v>727</v>
      </c>
      <c r="B353" s="2" t="s">
        <v>728</v>
      </c>
      <c r="C353" s="2" t="s">
        <v>11</v>
      </c>
      <c r="D353">
        <v>56</v>
      </c>
      <c r="E353" s="2" t="s">
        <v>12</v>
      </c>
      <c r="F353" s="2" t="s">
        <v>42</v>
      </c>
      <c r="G353">
        <v>130198</v>
      </c>
      <c r="H353" s="2" t="s">
        <v>14</v>
      </c>
      <c r="I353" s="3">
        <v>43973</v>
      </c>
      <c r="J353" t="s">
        <v>1032</v>
      </c>
      <c r="K353">
        <v>6</v>
      </c>
      <c r="L353" t="s">
        <v>1033</v>
      </c>
      <c r="M353" t="s">
        <v>1034</v>
      </c>
      <c r="N353">
        <v>2020</v>
      </c>
      <c r="O353" t="s">
        <v>1032</v>
      </c>
      <c r="P353">
        <v>3</v>
      </c>
    </row>
    <row r="354" spans="1:16" x14ac:dyDescent="0.3">
      <c r="A354" s="2" t="s">
        <v>729</v>
      </c>
      <c r="B354" s="2" t="s">
        <v>1043</v>
      </c>
      <c r="C354" s="2" t="s">
        <v>11</v>
      </c>
      <c r="D354">
        <v>20</v>
      </c>
      <c r="E354" s="2" t="s">
        <v>12</v>
      </c>
      <c r="F354" s="2" t="s">
        <v>13</v>
      </c>
      <c r="G354">
        <v>22356</v>
      </c>
      <c r="H354" s="2" t="s">
        <v>14</v>
      </c>
      <c r="I354" s="3">
        <v>43727</v>
      </c>
      <c r="J354" t="s">
        <v>1035</v>
      </c>
      <c r="K354">
        <v>6</v>
      </c>
      <c r="L354" t="s">
        <v>1033</v>
      </c>
      <c r="M354" t="s">
        <v>1037</v>
      </c>
      <c r="N354">
        <v>2019</v>
      </c>
      <c r="O354" t="s">
        <v>1035</v>
      </c>
      <c r="P354">
        <v>1</v>
      </c>
    </row>
    <row r="355" spans="1:16" x14ac:dyDescent="0.3">
      <c r="A355" s="2" t="s">
        <v>731</v>
      </c>
      <c r="B355" s="2" t="s">
        <v>732</v>
      </c>
      <c r="C355" s="2" t="s">
        <v>17</v>
      </c>
      <c r="D355">
        <v>62</v>
      </c>
      <c r="E355" s="2" t="s">
        <v>34</v>
      </c>
      <c r="F355" s="2" t="s">
        <v>13</v>
      </c>
      <c r="G355">
        <v>90326</v>
      </c>
      <c r="H355" s="2" t="s">
        <v>20</v>
      </c>
      <c r="I355" s="3">
        <v>43758</v>
      </c>
      <c r="J355" t="s">
        <v>1038</v>
      </c>
      <c r="K355">
        <v>6</v>
      </c>
      <c r="L355" t="s">
        <v>1033</v>
      </c>
      <c r="M355" t="s">
        <v>1037</v>
      </c>
      <c r="N355">
        <v>2019</v>
      </c>
      <c r="O355" t="s">
        <v>1038</v>
      </c>
      <c r="P355">
        <v>4</v>
      </c>
    </row>
    <row r="356" spans="1:16" x14ac:dyDescent="0.3">
      <c r="A356" s="2" t="s">
        <v>733</v>
      </c>
      <c r="B356" s="2" t="s">
        <v>734</v>
      </c>
      <c r="C356" s="2" t="s">
        <v>17</v>
      </c>
      <c r="D356">
        <v>30</v>
      </c>
      <c r="E356" s="2" t="s">
        <v>30</v>
      </c>
      <c r="F356" s="2" t="s">
        <v>23</v>
      </c>
      <c r="G356">
        <v>112447</v>
      </c>
      <c r="H356" s="2" t="s">
        <v>14</v>
      </c>
      <c r="I356" s="3">
        <v>43847</v>
      </c>
      <c r="J356" t="s">
        <v>1029</v>
      </c>
      <c r="K356">
        <v>6</v>
      </c>
      <c r="L356" t="s">
        <v>1033</v>
      </c>
      <c r="M356" t="s">
        <v>1034</v>
      </c>
      <c r="N356">
        <v>2020</v>
      </c>
      <c r="O356" t="s">
        <v>1029</v>
      </c>
      <c r="P356">
        <v>2</v>
      </c>
    </row>
    <row r="357" spans="1:16" x14ac:dyDescent="0.3">
      <c r="A357" s="2" t="s">
        <v>735</v>
      </c>
      <c r="B357" s="2" t="s">
        <v>736</v>
      </c>
      <c r="C357" s="2" t="s">
        <v>11</v>
      </c>
      <c r="D357">
        <v>67</v>
      </c>
      <c r="E357" s="2" t="s">
        <v>30</v>
      </c>
      <c r="F357" s="2" t="s">
        <v>27</v>
      </c>
      <c r="G357">
        <v>134994</v>
      </c>
      <c r="H357" s="2" t="s">
        <v>20</v>
      </c>
      <c r="I357" s="3">
        <v>43374</v>
      </c>
      <c r="J357" t="s">
        <v>1038</v>
      </c>
      <c r="K357">
        <v>7</v>
      </c>
      <c r="L357" t="s">
        <v>1033</v>
      </c>
      <c r="M357" t="s">
        <v>1034</v>
      </c>
      <c r="N357">
        <v>2018</v>
      </c>
      <c r="O357" t="s">
        <v>1038</v>
      </c>
      <c r="P357">
        <v>4</v>
      </c>
    </row>
    <row r="358" spans="1:16" x14ac:dyDescent="0.3">
      <c r="A358" s="2" t="s">
        <v>737</v>
      </c>
      <c r="B358" s="2" t="s">
        <v>738</v>
      </c>
      <c r="C358" s="2" t="s">
        <v>17</v>
      </c>
      <c r="D358">
        <v>45</v>
      </c>
      <c r="E358" s="2" t="s">
        <v>34</v>
      </c>
      <c r="F358" s="2" t="s">
        <v>19</v>
      </c>
      <c r="G358">
        <v>40049</v>
      </c>
      <c r="H358" s="2" t="s">
        <v>14</v>
      </c>
      <c r="I358" s="3">
        <v>44190</v>
      </c>
      <c r="J358" t="s">
        <v>1032</v>
      </c>
      <c r="K358">
        <v>5</v>
      </c>
      <c r="L358" t="s">
        <v>1033</v>
      </c>
      <c r="M358" t="s">
        <v>1037</v>
      </c>
      <c r="N358">
        <v>2020</v>
      </c>
      <c r="O358" t="s">
        <v>1032</v>
      </c>
      <c r="P358">
        <v>3</v>
      </c>
    </row>
    <row r="359" spans="1:16" x14ac:dyDescent="0.3">
      <c r="A359" s="2" t="s">
        <v>739</v>
      </c>
      <c r="B359" s="2" t="s">
        <v>740</v>
      </c>
      <c r="C359" s="2" t="s">
        <v>17</v>
      </c>
      <c r="D359">
        <v>37</v>
      </c>
      <c r="E359" s="2" t="s">
        <v>34</v>
      </c>
      <c r="F359" s="2" t="s">
        <v>19</v>
      </c>
      <c r="G359">
        <v>125361</v>
      </c>
      <c r="H359" s="2" t="s">
        <v>14</v>
      </c>
      <c r="I359" s="3">
        <v>44342</v>
      </c>
      <c r="J359" t="s">
        <v>1029</v>
      </c>
      <c r="K359">
        <v>5</v>
      </c>
      <c r="L359" t="s">
        <v>1033</v>
      </c>
      <c r="M359" t="s">
        <v>1034</v>
      </c>
      <c r="N359">
        <v>2021</v>
      </c>
      <c r="O359" t="s">
        <v>1029</v>
      </c>
      <c r="P359">
        <v>2</v>
      </c>
    </row>
    <row r="360" spans="1:16" x14ac:dyDescent="0.3">
      <c r="A360" s="2" t="s">
        <v>741</v>
      </c>
      <c r="B360" s="2" t="s">
        <v>742</v>
      </c>
      <c r="C360" s="2" t="s">
        <v>11</v>
      </c>
      <c r="D360">
        <v>45</v>
      </c>
      <c r="E360" s="2" t="s">
        <v>12</v>
      </c>
      <c r="F360" s="2" t="s">
        <v>13</v>
      </c>
      <c r="G360">
        <v>36082</v>
      </c>
      <c r="H360" s="2" t="s">
        <v>20</v>
      </c>
      <c r="I360" s="3">
        <v>44954</v>
      </c>
      <c r="J360" t="s">
        <v>1032</v>
      </c>
      <c r="K360">
        <v>3</v>
      </c>
      <c r="L360" t="s">
        <v>1030</v>
      </c>
      <c r="M360" t="s">
        <v>1037</v>
      </c>
      <c r="N360">
        <v>2023</v>
      </c>
      <c r="O360" t="s">
        <v>1032</v>
      </c>
      <c r="P360">
        <v>3</v>
      </c>
    </row>
    <row r="361" spans="1:16" x14ac:dyDescent="0.3">
      <c r="A361" s="2" t="s">
        <v>743</v>
      </c>
      <c r="B361" s="2" t="s">
        <v>744</v>
      </c>
      <c r="C361" s="2" t="s">
        <v>11</v>
      </c>
      <c r="D361">
        <v>25</v>
      </c>
      <c r="E361" s="2" t="s">
        <v>30</v>
      </c>
      <c r="F361" s="2" t="s">
        <v>31</v>
      </c>
      <c r="G361">
        <v>20661</v>
      </c>
      <c r="H361" s="2" t="s">
        <v>14</v>
      </c>
      <c r="I361" s="3">
        <v>44819</v>
      </c>
      <c r="J361" t="s">
        <v>1035</v>
      </c>
      <c r="K361">
        <v>3</v>
      </c>
      <c r="L361" t="s">
        <v>1030</v>
      </c>
      <c r="M361" t="s">
        <v>1037</v>
      </c>
      <c r="N361">
        <v>2022</v>
      </c>
      <c r="O361" t="s">
        <v>1035</v>
      </c>
      <c r="P361">
        <v>1</v>
      </c>
    </row>
    <row r="362" spans="1:16" x14ac:dyDescent="0.3">
      <c r="A362" s="2" t="s">
        <v>745</v>
      </c>
      <c r="B362" s="2" t="s">
        <v>746</v>
      </c>
      <c r="C362" s="2" t="s">
        <v>17</v>
      </c>
      <c r="D362">
        <v>58</v>
      </c>
      <c r="E362" s="2" t="s">
        <v>18</v>
      </c>
      <c r="F362" s="2" t="s">
        <v>31</v>
      </c>
      <c r="G362">
        <v>188484</v>
      </c>
      <c r="H362" s="2" t="s">
        <v>14</v>
      </c>
      <c r="I362" s="3">
        <v>45392</v>
      </c>
      <c r="J362" t="s">
        <v>1032</v>
      </c>
      <c r="K362">
        <v>2</v>
      </c>
      <c r="L362" t="s">
        <v>1030</v>
      </c>
      <c r="M362" t="s">
        <v>1031</v>
      </c>
      <c r="N362">
        <v>2024</v>
      </c>
      <c r="O362" t="s">
        <v>1032</v>
      </c>
      <c r="P362">
        <v>3</v>
      </c>
    </row>
    <row r="363" spans="1:16" x14ac:dyDescent="0.3">
      <c r="A363" s="2" t="s">
        <v>747</v>
      </c>
      <c r="B363" s="2" t="s">
        <v>748</v>
      </c>
      <c r="C363" s="2" t="s">
        <v>11</v>
      </c>
      <c r="D363">
        <v>56</v>
      </c>
      <c r="E363" s="2" t="s">
        <v>12</v>
      </c>
      <c r="F363" s="2" t="s">
        <v>23</v>
      </c>
      <c r="G363">
        <v>22920</v>
      </c>
      <c r="H363" s="2" t="s">
        <v>14</v>
      </c>
      <c r="I363" s="3">
        <v>42295</v>
      </c>
      <c r="J363" t="s">
        <v>1032</v>
      </c>
      <c r="K363">
        <v>10</v>
      </c>
      <c r="L363" t="s">
        <v>1036</v>
      </c>
      <c r="M363" t="s">
        <v>1037</v>
      </c>
      <c r="N363">
        <v>2015</v>
      </c>
      <c r="O363" t="s">
        <v>1032</v>
      </c>
      <c r="P363">
        <v>3</v>
      </c>
    </row>
    <row r="364" spans="1:16" x14ac:dyDescent="0.3">
      <c r="A364" s="2" t="s">
        <v>749</v>
      </c>
      <c r="B364" s="2" t="s">
        <v>750</v>
      </c>
      <c r="C364" s="2" t="s">
        <v>11</v>
      </c>
      <c r="D364">
        <v>18</v>
      </c>
      <c r="E364" s="2" t="s">
        <v>34</v>
      </c>
      <c r="F364" s="2" t="s">
        <v>19</v>
      </c>
      <c r="G364">
        <v>99561</v>
      </c>
      <c r="H364" s="2" t="s">
        <v>24</v>
      </c>
      <c r="I364" s="3">
        <v>42581</v>
      </c>
      <c r="J364" t="s">
        <v>1035</v>
      </c>
      <c r="K364">
        <v>9</v>
      </c>
      <c r="L364" t="s">
        <v>1036</v>
      </c>
      <c r="M364" t="s">
        <v>1037</v>
      </c>
      <c r="N364">
        <v>2016</v>
      </c>
      <c r="O364" t="s">
        <v>1035</v>
      </c>
      <c r="P364">
        <v>1</v>
      </c>
    </row>
    <row r="365" spans="1:16" x14ac:dyDescent="0.3">
      <c r="A365" s="2" t="s">
        <v>751</v>
      </c>
      <c r="B365" s="2" t="s">
        <v>752</v>
      </c>
      <c r="C365" s="2" t="s">
        <v>17</v>
      </c>
      <c r="D365">
        <v>20</v>
      </c>
      <c r="E365" s="2" t="s">
        <v>30</v>
      </c>
      <c r="F365" s="2" t="s">
        <v>13</v>
      </c>
      <c r="G365">
        <v>28946</v>
      </c>
      <c r="H365" s="2" t="s">
        <v>20</v>
      </c>
      <c r="I365" s="3">
        <v>42442</v>
      </c>
      <c r="J365" t="s">
        <v>1035</v>
      </c>
      <c r="K365">
        <v>10</v>
      </c>
      <c r="L365" t="s">
        <v>1036</v>
      </c>
      <c r="M365" t="s">
        <v>1037</v>
      </c>
      <c r="N365">
        <v>2016</v>
      </c>
      <c r="O365" t="s">
        <v>1035</v>
      </c>
      <c r="P365">
        <v>1</v>
      </c>
    </row>
    <row r="366" spans="1:16" x14ac:dyDescent="0.3">
      <c r="A366" s="2" t="s">
        <v>753</v>
      </c>
      <c r="B366" s="2" t="s">
        <v>754</v>
      </c>
      <c r="C366" s="2" t="s">
        <v>11</v>
      </c>
      <c r="D366">
        <v>30</v>
      </c>
      <c r="E366" s="2" t="s">
        <v>18</v>
      </c>
      <c r="F366" s="2" t="s">
        <v>27</v>
      </c>
      <c r="G366">
        <v>196572</v>
      </c>
      <c r="H366" s="2" t="s">
        <v>14</v>
      </c>
      <c r="I366" s="3">
        <v>45607</v>
      </c>
      <c r="J366" t="s">
        <v>1029</v>
      </c>
      <c r="K366">
        <v>1</v>
      </c>
      <c r="L366" t="s">
        <v>1039</v>
      </c>
      <c r="M366" t="s">
        <v>1031</v>
      </c>
      <c r="N366">
        <v>2024</v>
      </c>
      <c r="O366" t="s">
        <v>1029</v>
      </c>
      <c r="P366">
        <v>2</v>
      </c>
    </row>
    <row r="367" spans="1:16" x14ac:dyDescent="0.3">
      <c r="A367" s="2" t="s">
        <v>755</v>
      </c>
      <c r="B367" s="2" t="s">
        <v>756</v>
      </c>
      <c r="C367" s="2" t="s">
        <v>11</v>
      </c>
      <c r="D367">
        <v>45</v>
      </c>
      <c r="E367" s="2" t="s">
        <v>18</v>
      </c>
      <c r="F367" s="2" t="s">
        <v>19</v>
      </c>
      <c r="G367">
        <v>36309</v>
      </c>
      <c r="H367" s="2" t="s">
        <v>14</v>
      </c>
      <c r="I367" s="3">
        <v>43773</v>
      </c>
      <c r="J367" t="s">
        <v>1032</v>
      </c>
      <c r="K367">
        <v>6</v>
      </c>
      <c r="L367" t="s">
        <v>1033</v>
      </c>
      <c r="M367" t="s">
        <v>1037</v>
      </c>
      <c r="N367">
        <v>2019</v>
      </c>
      <c r="O367" t="s">
        <v>1032</v>
      </c>
      <c r="P367">
        <v>3</v>
      </c>
    </row>
    <row r="368" spans="1:16" x14ac:dyDescent="0.3">
      <c r="A368" s="2" t="s">
        <v>757</v>
      </c>
      <c r="B368" s="2" t="s">
        <v>758</v>
      </c>
      <c r="C368" s="2" t="s">
        <v>17</v>
      </c>
      <c r="D368">
        <v>74</v>
      </c>
      <c r="E368" s="2" t="s">
        <v>12</v>
      </c>
      <c r="F368" s="2" t="s">
        <v>13</v>
      </c>
      <c r="G368">
        <v>75230</v>
      </c>
      <c r="H368" s="2" t="s">
        <v>14</v>
      </c>
      <c r="I368" s="3">
        <v>43795</v>
      </c>
      <c r="J368" t="s">
        <v>1038</v>
      </c>
      <c r="K368">
        <v>6</v>
      </c>
      <c r="L368" t="s">
        <v>1033</v>
      </c>
      <c r="M368" t="s">
        <v>1037</v>
      </c>
      <c r="N368">
        <v>2019</v>
      </c>
      <c r="O368" t="s">
        <v>1038</v>
      </c>
      <c r="P368">
        <v>4</v>
      </c>
    </row>
    <row r="369" spans="1:16" x14ac:dyDescent="0.3">
      <c r="A369" s="2" t="s">
        <v>759</v>
      </c>
      <c r="B369" s="2" t="s">
        <v>760</v>
      </c>
      <c r="C369" s="2" t="s">
        <v>17</v>
      </c>
      <c r="D369">
        <v>66</v>
      </c>
      <c r="E369" s="2" t="s">
        <v>30</v>
      </c>
      <c r="F369" s="2" t="s">
        <v>13</v>
      </c>
      <c r="G369">
        <v>131822</v>
      </c>
      <c r="H369" s="2" t="s">
        <v>20</v>
      </c>
      <c r="I369" s="3">
        <v>43811</v>
      </c>
      <c r="J369" t="s">
        <v>1038</v>
      </c>
      <c r="K369">
        <v>6</v>
      </c>
      <c r="L369" t="s">
        <v>1033</v>
      </c>
      <c r="M369" t="s">
        <v>1034</v>
      </c>
      <c r="N369">
        <v>2019</v>
      </c>
      <c r="O369" t="s">
        <v>1038</v>
      </c>
      <c r="P369">
        <v>4</v>
      </c>
    </row>
    <row r="370" spans="1:16" x14ac:dyDescent="0.3">
      <c r="A370" s="2" t="s">
        <v>761</v>
      </c>
      <c r="B370" s="2" t="s">
        <v>762</v>
      </c>
      <c r="C370" s="2" t="s">
        <v>11</v>
      </c>
      <c r="D370">
        <v>42</v>
      </c>
      <c r="E370" s="2" t="s">
        <v>30</v>
      </c>
      <c r="F370" s="2" t="s">
        <v>37</v>
      </c>
      <c r="G370">
        <v>181099</v>
      </c>
      <c r="H370" s="2" t="s">
        <v>20</v>
      </c>
      <c r="I370" s="3">
        <v>44954</v>
      </c>
      <c r="J370" t="s">
        <v>1029</v>
      </c>
      <c r="K370">
        <v>3</v>
      </c>
      <c r="L370" t="s">
        <v>1030</v>
      </c>
      <c r="M370" t="s">
        <v>1031</v>
      </c>
      <c r="N370">
        <v>2023</v>
      </c>
      <c r="O370" t="s">
        <v>1029</v>
      </c>
      <c r="P370">
        <v>2</v>
      </c>
    </row>
    <row r="371" spans="1:16" x14ac:dyDescent="0.3">
      <c r="A371" s="2" t="s">
        <v>763</v>
      </c>
      <c r="B371" s="2" t="s">
        <v>764</v>
      </c>
      <c r="C371" s="2" t="s">
        <v>11</v>
      </c>
      <c r="D371">
        <v>73</v>
      </c>
      <c r="E371" s="2" t="s">
        <v>34</v>
      </c>
      <c r="F371" s="2" t="s">
        <v>27</v>
      </c>
      <c r="G371">
        <v>132340</v>
      </c>
      <c r="H371" s="2" t="s">
        <v>14</v>
      </c>
      <c r="I371" s="3">
        <v>42545</v>
      </c>
      <c r="J371" t="s">
        <v>1038</v>
      </c>
      <c r="K371">
        <v>10</v>
      </c>
      <c r="L371" t="s">
        <v>1036</v>
      </c>
      <c r="M371" t="s">
        <v>1034</v>
      </c>
      <c r="N371">
        <v>2016</v>
      </c>
      <c r="O371" t="s">
        <v>1038</v>
      </c>
      <c r="P371">
        <v>4</v>
      </c>
    </row>
    <row r="372" spans="1:16" x14ac:dyDescent="0.3">
      <c r="A372" s="2" t="s">
        <v>765</v>
      </c>
      <c r="B372" s="2" t="s">
        <v>766</v>
      </c>
      <c r="C372" s="2" t="s">
        <v>17</v>
      </c>
      <c r="D372">
        <v>50</v>
      </c>
      <c r="E372" s="2" t="s">
        <v>30</v>
      </c>
      <c r="F372" s="2" t="s">
        <v>37</v>
      </c>
      <c r="G372">
        <v>79321</v>
      </c>
      <c r="H372" s="2" t="s">
        <v>14</v>
      </c>
      <c r="I372" s="3">
        <v>43047</v>
      </c>
      <c r="J372" t="s">
        <v>1032</v>
      </c>
      <c r="K372">
        <v>8</v>
      </c>
      <c r="L372" t="s">
        <v>1036</v>
      </c>
      <c r="M372" t="s">
        <v>1037</v>
      </c>
      <c r="N372">
        <v>2017</v>
      </c>
      <c r="O372" t="s">
        <v>1032</v>
      </c>
      <c r="P372">
        <v>3</v>
      </c>
    </row>
    <row r="373" spans="1:16" x14ac:dyDescent="0.3">
      <c r="A373" s="2" t="s">
        <v>767</v>
      </c>
      <c r="B373" s="2" t="s">
        <v>768</v>
      </c>
      <c r="C373" s="2" t="s">
        <v>17</v>
      </c>
      <c r="D373">
        <v>55</v>
      </c>
      <c r="E373" s="2" t="s">
        <v>30</v>
      </c>
      <c r="F373" s="2" t="s">
        <v>23</v>
      </c>
      <c r="G373">
        <v>152028</v>
      </c>
      <c r="H373" s="2" t="s">
        <v>14</v>
      </c>
      <c r="I373" s="3">
        <v>44745</v>
      </c>
      <c r="J373" t="s">
        <v>1032</v>
      </c>
      <c r="K373">
        <v>4</v>
      </c>
      <c r="L373" t="s">
        <v>1033</v>
      </c>
      <c r="M373" t="s">
        <v>1031</v>
      </c>
      <c r="N373">
        <v>2022</v>
      </c>
      <c r="O373" t="s">
        <v>1032</v>
      </c>
      <c r="P373">
        <v>3</v>
      </c>
    </row>
    <row r="374" spans="1:16" x14ac:dyDescent="0.3">
      <c r="A374" s="2" t="s">
        <v>769</v>
      </c>
      <c r="B374" s="2" t="s">
        <v>770</v>
      </c>
      <c r="C374" s="2" t="s">
        <v>17</v>
      </c>
      <c r="D374">
        <v>70</v>
      </c>
      <c r="E374" s="2" t="s">
        <v>12</v>
      </c>
      <c r="F374" s="2" t="s">
        <v>37</v>
      </c>
      <c r="G374">
        <v>94131</v>
      </c>
      <c r="H374" s="2" t="s">
        <v>20</v>
      </c>
      <c r="I374" s="3">
        <v>45501</v>
      </c>
      <c r="J374" t="s">
        <v>1038</v>
      </c>
      <c r="K374">
        <v>1</v>
      </c>
      <c r="L374" t="s">
        <v>1039</v>
      </c>
      <c r="M374" t="s">
        <v>1037</v>
      </c>
      <c r="N374">
        <v>2024</v>
      </c>
      <c r="O374" t="s">
        <v>1038</v>
      </c>
      <c r="P374">
        <v>4</v>
      </c>
    </row>
    <row r="375" spans="1:16" x14ac:dyDescent="0.3">
      <c r="A375" s="2" t="s">
        <v>771</v>
      </c>
      <c r="B375" s="2" t="s">
        <v>772</v>
      </c>
      <c r="C375" s="2" t="s">
        <v>17</v>
      </c>
      <c r="D375">
        <v>23</v>
      </c>
      <c r="E375" s="2" t="s">
        <v>30</v>
      </c>
      <c r="F375" s="2" t="s">
        <v>42</v>
      </c>
      <c r="G375">
        <v>198980</v>
      </c>
      <c r="H375" s="2" t="s">
        <v>20</v>
      </c>
      <c r="I375" s="3">
        <v>43750</v>
      </c>
      <c r="J375" t="s">
        <v>1035</v>
      </c>
      <c r="K375">
        <v>6</v>
      </c>
      <c r="L375" t="s">
        <v>1033</v>
      </c>
      <c r="M375" t="s">
        <v>1031</v>
      </c>
      <c r="N375">
        <v>2019</v>
      </c>
      <c r="O375" t="s">
        <v>1035</v>
      </c>
      <c r="P375">
        <v>1</v>
      </c>
    </row>
    <row r="376" spans="1:16" x14ac:dyDescent="0.3">
      <c r="A376" s="2" t="s">
        <v>773</v>
      </c>
      <c r="B376" s="2" t="s">
        <v>774</v>
      </c>
      <c r="C376" s="2" t="s">
        <v>11</v>
      </c>
      <c r="D376">
        <v>61</v>
      </c>
      <c r="E376" s="2" t="s">
        <v>18</v>
      </c>
      <c r="F376" s="2" t="s">
        <v>37</v>
      </c>
      <c r="G376">
        <v>45963</v>
      </c>
      <c r="H376" s="2" t="s">
        <v>14</v>
      </c>
      <c r="I376" s="3">
        <v>44798</v>
      </c>
      <c r="J376" t="s">
        <v>1038</v>
      </c>
      <c r="K376">
        <v>3</v>
      </c>
      <c r="L376" t="s">
        <v>1030</v>
      </c>
      <c r="M376" t="s">
        <v>1037</v>
      </c>
      <c r="N376">
        <v>2022</v>
      </c>
      <c r="O376" t="s">
        <v>1038</v>
      </c>
      <c r="P376">
        <v>4</v>
      </c>
    </row>
    <row r="377" spans="1:16" x14ac:dyDescent="0.3">
      <c r="A377" s="2" t="s">
        <v>775</v>
      </c>
      <c r="B377" s="2" t="s">
        <v>776</v>
      </c>
      <c r="C377" s="2" t="s">
        <v>17</v>
      </c>
      <c r="D377">
        <v>62</v>
      </c>
      <c r="E377" s="2" t="s">
        <v>12</v>
      </c>
      <c r="F377" s="2" t="s">
        <v>42</v>
      </c>
      <c r="G377">
        <v>121757</v>
      </c>
      <c r="H377" s="2" t="s">
        <v>14</v>
      </c>
      <c r="I377" s="3">
        <v>42284</v>
      </c>
      <c r="J377" t="s">
        <v>1038</v>
      </c>
      <c r="K377">
        <v>10</v>
      </c>
      <c r="L377" t="s">
        <v>1036</v>
      </c>
      <c r="M377" t="s">
        <v>1034</v>
      </c>
      <c r="N377">
        <v>2015</v>
      </c>
      <c r="O377" t="s">
        <v>1038</v>
      </c>
      <c r="P377">
        <v>4</v>
      </c>
    </row>
    <row r="378" spans="1:16" x14ac:dyDescent="0.3">
      <c r="A378" s="2" t="s">
        <v>777</v>
      </c>
      <c r="B378" s="2" t="s">
        <v>778</v>
      </c>
      <c r="C378" s="2" t="s">
        <v>17</v>
      </c>
      <c r="D378">
        <v>49</v>
      </c>
      <c r="E378" s="2" t="s">
        <v>12</v>
      </c>
      <c r="F378" s="2" t="s">
        <v>19</v>
      </c>
      <c r="G378">
        <v>190515</v>
      </c>
      <c r="H378" s="2" t="s">
        <v>14</v>
      </c>
      <c r="I378" s="3">
        <v>44918</v>
      </c>
      <c r="J378" t="s">
        <v>1032</v>
      </c>
      <c r="K378">
        <v>3</v>
      </c>
      <c r="L378" t="s">
        <v>1030</v>
      </c>
      <c r="M378" t="s">
        <v>1031</v>
      </c>
      <c r="N378">
        <v>2022</v>
      </c>
      <c r="O378" t="s">
        <v>1032</v>
      </c>
      <c r="P378">
        <v>3</v>
      </c>
    </row>
    <row r="379" spans="1:16" x14ac:dyDescent="0.3">
      <c r="A379" s="2" t="s">
        <v>779</v>
      </c>
      <c r="B379" s="2" t="s">
        <v>780</v>
      </c>
      <c r="C379" s="2" t="s">
        <v>11</v>
      </c>
      <c r="D379">
        <v>62</v>
      </c>
      <c r="E379" s="2" t="s">
        <v>34</v>
      </c>
      <c r="F379" s="2" t="s">
        <v>31</v>
      </c>
      <c r="G379">
        <v>119259</v>
      </c>
      <c r="H379" s="2" t="s">
        <v>24</v>
      </c>
      <c r="I379" s="3">
        <v>42731</v>
      </c>
      <c r="J379" t="s">
        <v>1038</v>
      </c>
      <c r="K379">
        <v>9</v>
      </c>
      <c r="L379" t="s">
        <v>1036</v>
      </c>
      <c r="M379" t="s">
        <v>1034</v>
      </c>
      <c r="N379">
        <v>2016</v>
      </c>
      <c r="O379" t="s">
        <v>1038</v>
      </c>
      <c r="P379">
        <v>4</v>
      </c>
    </row>
    <row r="380" spans="1:16" x14ac:dyDescent="0.3">
      <c r="A380" s="2" t="s">
        <v>781</v>
      </c>
      <c r="B380" s="2" t="s">
        <v>782</v>
      </c>
      <c r="C380" s="2" t="s">
        <v>17</v>
      </c>
      <c r="D380">
        <v>64</v>
      </c>
      <c r="E380" s="2" t="s">
        <v>30</v>
      </c>
      <c r="F380" s="2" t="s">
        <v>13</v>
      </c>
      <c r="G380">
        <v>59063</v>
      </c>
      <c r="H380" s="2" t="s">
        <v>14</v>
      </c>
      <c r="I380" s="3">
        <v>44972</v>
      </c>
      <c r="J380" t="s">
        <v>1038</v>
      </c>
      <c r="K380">
        <v>3</v>
      </c>
      <c r="L380" t="s">
        <v>1030</v>
      </c>
      <c r="M380" t="s">
        <v>1037</v>
      </c>
      <c r="N380">
        <v>2023</v>
      </c>
      <c r="O380" t="s">
        <v>1038</v>
      </c>
      <c r="P380">
        <v>4</v>
      </c>
    </row>
    <row r="381" spans="1:16" x14ac:dyDescent="0.3">
      <c r="A381" s="2" t="s">
        <v>783</v>
      </c>
      <c r="B381" s="2" t="s">
        <v>784</v>
      </c>
      <c r="C381" s="2" t="s">
        <v>11</v>
      </c>
      <c r="D381">
        <v>38</v>
      </c>
      <c r="E381" s="2" t="s">
        <v>34</v>
      </c>
      <c r="F381" s="2" t="s">
        <v>42</v>
      </c>
      <c r="G381">
        <v>134225</v>
      </c>
      <c r="H381" s="2" t="s">
        <v>20</v>
      </c>
      <c r="I381" s="3">
        <v>44538</v>
      </c>
      <c r="J381" t="s">
        <v>1029</v>
      </c>
      <c r="K381">
        <v>4</v>
      </c>
      <c r="L381" t="s">
        <v>1033</v>
      </c>
      <c r="M381" t="s">
        <v>1034</v>
      </c>
      <c r="N381">
        <v>2021</v>
      </c>
      <c r="O381" t="s">
        <v>1029</v>
      </c>
      <c r="P381">
        <v>2</v>
      </c>
    </row>
    <row r="382" spans="1:16" x14ac:dyDescent="0.3">
      <c r="A382" s="2" t="s">
        <v>785</v>
      </c>
      <c r="B382" s="2" t="s">
        <v>786</v>
      </c>
      <c r="C382" s="2" t="s">
        <v>17</v>
      </c>
      <c r="D382">
        <v>33</v>
      </c>
      <c r="E382" s="2" t="s">
        <v>18</v>
      </c>
      <c r="F382" s="2" t="s">
        <v>27</v>
      </c>
      <c r="G382">
        <v>136400</v>
      </c>
      <c r="H382" s="2" t="s">
        <v>20</v>
      </c>
      <c r="I382" s="3">
        <v>43463</v>
      </c>
      <c r="J382" t="s">
        <v>1029</v>
      </c>
      <c r="K382">
        <v>7</v>
      </c>
      <c r="L382" t="s">
        <v>1033</v>
      </c>
      <c r="M382" t="s">
        <v>1034</v>
      </c>
      <c r="N382">
        <v>2018</v>
      </c>
      <c r="O382" t="s">
        <v>1029</v>
      </c>
      <c r="P382">
        <v>2</v>
      </c>
    </row>
    <row r="383" spans="1:16" x14ac:dyDescent="0.3">
      <c r="A383" s="2" t="s">
        <v>787</v>
      </c>
      <c r="B383" s="2" t="s">
        <v>788</v>
      </c>
      <c r="C383" s="2" t="s">
        <v>17</v>
      </c>
      <c r="D383">
        <v>71</v>
      </c>
      <c r="E383" s="2" t="s">
        <v>12</v>
      </c>
      <c r="F383" s="2" t="s">
        <v>37</v>
      </c>
      <c r="G383">
        <v>100818</v>
      </c>
      <c r="H383" s="2" t="s">
        <v>14</v>
      </c>
      <c r="I383" s="3">
        <v>43995</v>
      </c>
      <c r="J383" t="s">
        <v>1038</v>
      </c>
      <c r="K383">
        <v>6</v>
      </c>
      <c r="L383" t="s">
        <v>1033</v>
      </c>
      <c r="M383" t="s">
        <v>1034</v>
      </c>
      <c r="N383">
        <v>2020</v>
      </c>
      <c r="O383" t="s">
        <v>1038</v>
      </c>
      <c r="P383">
        <v>4</v>
      </c>
    </row>
    <row r="384" spans="1:16" x14ac:dyDescent="0.3">
      <c r="A384" s="2" t="s">
        <v>789</v>
      </c>
      <c r="B384" s="2" t="s">
        <v>790</v>
      </c>
      <c r="C384" s="2" t="s">
        <v>17</v>
      </c>
      <c r="D384">
        <v>38</v>
      </c>
      <c r="E384" s="2" t="s">
        <v>12</v>
      </c>
      <c r="F384" s="2" t="s">
        <v>42</v>
      </c>
      <c r="G384">
        <v>24703</v>
      </c>
      <c r="H384" s="2" t="s">
        <v>14</v>
      </c>
      <c r="I384" s="3">
        <v>44896</v>
      </c>
      <c r="J384" t="s">
        <v>1029</v>
      </c>
      <c r="K384">
        <v>3</v>
      </c>
      <c r="L384" t="s">
        <v>1030</v>
      </c>
      <c r="M384" t="s">
        <v>1037</v>
      </c>
      <c r="N384">
        <v>2022</v>
      </c>
      <c r="O384" t="s">
        <v>1029</v>
      </c>
      <c r="P384">
        <v>2</v>
      </c>
    </row>
    <row r="385" spans="1:16" x14ac:dyDescent="0.3">
      <c r="A385" s="2" t="s">
        <v>791</v>
      </c>
      <c r="B385" s="2" t="s">
        <v>792</v>
      </c>
      <c r="C385" s="2" t="s">
        <v>11</v>
      </c>
      <c r="D385">
        <v>28</v>
      </c>
      <c r="E385" s="2" t="s">
        <v>12</v>
      </c>
      <c r="F385" s="2" t="s">
        <v>27</v>
      </c>
      <c r="G385">
        <v>92099</v>
      </c>
      <c r="H385" s="2" t="s">
        <v>14</v>
      </c>
      <c r="I385" s="3">
        <v>44410</v>
      </c>
      <c r="J385" t="s">
        <v>1035</v>
      </c>
      <c r="K385">
        <v>4</v>
      </c>
      <c r="L385" t="s">
        <v>1033</v>
      </c>
      <c r="M385" t="s">
        <v>1037</v>
      </c>
      <c r="N385">
        <v>2021</v>
      </c>
      <c r="O385" t="s">
        <v>1035</v>
      </c>
      <c r="P385">
        <v>1</v>
      </c>
    </row>
    <row r="386" spans="1:16" x14ac:dyDescent="0.3">
      <c r="A386" s="2" t="s">
        <v>793</v>
      </c>
      <c r="B386" s="2" t="s">
        <v>794</v>
      </c>
      <c r="C386" s="2" t="s">
        <v>11</v>
      </c>
      <c r="D386">
        <v>54</v>
      </c>
      <c r="E386" s="2" t="s">
        <v>18</v>
      </c>
      <c r="F386" s="2" t="s">
        <v>31</v>
      </c>
      <c r="G386">
        <v>176921</v>
      </c>
      <c r="H386" s="2" t="s">
        <v>20</v>
      </c>
      <c r="I386" s="3">
        <v>44889</v>
      </c>
      <c r="J386" t="s">
        <v>1032</v>
      </c>
      <c r="K386">
        <v>3</v>
      </c>
      <c r="L386" t="s">
        <v>1030</v>
      </c>
      <c r="M386" t="s">
        <v>1031</v>
      </c>
      <c r="N386">
        <v>2022</v>
      </c>
      <c r="O386" t="s">
        <v>1032</v>
      </c>
      <c r="P386">
        <v>3</v>
      </c>
    </row>
    <row r="387" spans="1:16" x14ac:dyDescent="0.3">
      <c r="A387" s="2" t="s">
        <v>795</v>
      </c>
      <c r="B387" s="2" t="s">
        <v>796</v>
      </c>
      <c r="C387" s="2" t="s">
        <v>17</v>
      </c>
      <c r="D387">
        <v>53</v>
      </c>
      <c r="E387" s="2" t="s">
        <v>18</v>
      </c>
      <c r="F387" s="2" t="s">
        <v>31</v>
      </c>
      <c r="G387">
        <v>182932</v>
      </c>
      <c r="H387" s="2" t="s">
        <v>20</v>
      </c>
      <c r="I387" s="3">
        <v>45157</v>
      </c>
      <c r="J387" t="s">
        <v>1032</v>
      </c>
      <c r="K387">
        <v>2</v>
      </c>
      <c r="L387" t="s">
        <v>1030</v>
      </c>
      <c r="M387" t="s">
        <v>1031</v>
      </c>
      <c r="N387">
        <v>2023</v>
      </c>
      <c r="O387" t="s">
        <v>1032</v>
      </c>
      <c r="P387">
        <v>3</v>
      </c>
    </row>
    <row r="388" spans="1:16" x14ac:dyDescent="0.3">
      <c r="A388" s="2" t="s">
        <v>797</v>
      </c>
      <c r="B388" s="2" t="s">
        <v>798</v>
      </c>
      <c r="C388" s="2" t="s">
        <v>11</v>
      </c>
      <c r="D388">
        <v>52</v>
      </c>
      <c r="E388" s="2" t="s">
        <v>34</v>
      </c>
      <c r="F388" s="2" t="s">
        <v>37</v>
      </c>
      <c r="G388">
        <v>51585</v>
      </c>
      <c r="H388" s="2" t="s">
        <v>20</v>
      </c>
      <c r="I388" s="3">
        <v>43577</v>
      </c>
      <c r="J388" t="s">
        <v>1032</v>
      </c>
      <c r="K388">
        <v>7</v>
      </c>
      <c r="L388" t="s">
        <v>1033</v>
      </c>
      <c r="M388" t="s">
        <v>1037</v>
      </c>
      <c r="N388">
        <v>2019</v>
      </c>
      <c r="O388" t="s">
        <v>1032</v>
      </c>
      <c r="P388">
        <v>3</v>
      </c>
    </row>
    <row r="389" spans="1:16" x14ac:dyDescent="0.3">
      <c r="A389" s="2" t="s">
        <v>799</v>
      </c>
      <c r="B389" s="2" t="s">
        <v>800</v>
      </c>
      <c r="C389" s="2" t="s">
        <v>11</v>
      </c>
      <c r="D389">
        <v>36</v>
      </c>
      <c r="E389" s="2" t="s">
        <v>34</v>
      </c>
      <c r="F389" s="2" t="s">
        <v>23</v>
      </c>
      <c r="G389">
        <v>173087</v>
      </c>
      <c r="H389" s="2" t="s">
        <v>14</v>
      </c>
      <c r="I389" s="3">
        <v>43947</v>
      </c>
      <c r="J389" t="s">
        <v>1029</v>
      </c>
      <c r="K389">
        <v>6</v>
      </c>
      <c r="L389" t="s">
        <v>1033</v>
      </c>
      <c r="M389" t="s">
        <v>1031</v>
      </c>
      <c r="N389">
        <v>2020</v>
      </c>
      <c r="O389" t="s">
        <v>1029</v>
      </c>
      <c r="P389">
        <v>2</v>
      </c>
    </row>
    <row r="390" spans="1:16" x14ac:dyDescent="0.3">
      <c r="A390" s="2" t="s">
        <v>801</v>
      </c>
      <c r="B390" s="2" t="s">
        <v>802</v>
      </c>
      <c r="C390" s="2" t="s">
        <v>11</v>
      </c>
      <c r="D390">
        <v>37</v>
      </c>
      <c r="E390" s="2" t="s">
        <v>34</v>
      </c>
      <c r="F390" s="2" t="s">
        <v>37</v>
      </c>
      <c r="G390">
        <v>63585</v>
      </c>
      <c r="H390" s="2" t="s">
        <v>14</v>
      </c>
      <c r="I390" s="3">
        <v>42757</v>
      </c>
      <c r="J390" t="s">
        <v>1029</v>
      </c>
      <c r="K390">
        <v>9</v>
      </c>
      <c r="L390" t="s">
        <v>1036</v>
      </c>
      <c r="M390" t="s">
        <v>1037</v>
      </c>
      <c r="N390">
        <v>2017</v>
      </c>
      <c r="O390" t="s">
        <v>1029</v>
      </c>
      <c r="P390">
        <v>2</v>
      </c>
    </row>
    <row r="391" spans="1:16" x14ac:dyDescent="0.3">
      <c r="A391" s="2" t="s">
        <v>803</v>
      </c>
      <c r="B391" s="2" t="s">
        <v>804</v>
      </c>
      <c r="C391" s="2" t="s">
        <v>11</v>
      </c>
      <c r="D391">
        <v>74</v>
      </c>
      <c r="E391" s="2" t="s">
        <v>30</v>
      </c>
      <c r="F391" s="2" t="s">
        <v>19</v>
      </c>
      <c r="G391">
        <v>46958</v>
      </c>
      <c r="H391" s="2" t="s">
        <v>24</v>
      </c>
      <c r="I391" s="3">
        <v>44220</v>
      </c>
      <c r="J391" t="s">
        <v>1038</v>
      </c>
      <c r="K391">
        <v>5</v>
      </c>
      <c r="L391" t="s">
        <v>1033</v>
      </c>
      <c r="M391" t="s">
        <v>1037</v>
      </c>
      <c r="N391">
        <v>2021</v>
      </c>
      <c r="O391" t="s">
        <v>1038</v>
      </c>
      <c r="P391">
        <v>4</v>
      </c>
    </row>
    <row r="392" spans="1:16" x14ac:dyDescent="0.3">
      <c r="A392" s="2" t="s">
        <v>805</v>
      </c>
      <c r="B392" s="2" t="s">
        <v>806</v>
      </c>
      <c r="C392" s="2" t="s">
        <v>11</v>
      </c>
      <c r="D392">
        <v>35</v>
      </c>
      <c r="E392" s="2" t="s">
        <v>12</v>
      </c>
      <c r="F392" s="2" t="s">
        <v>42</v>
      </c>
      <c r="G392">
        <v>46017</v>
      </c>
      <c r="H392" s="2" t="s">
        <v>20</v>
      </c>
      <c r="I392" s="3">
        <v>42931</v>
      </c>
      <c r="J392" t="s">
        <v>1029</v>
      </c>
      <c r="K392">
        <v>8</v>
      </c>
      <c r="L392" t="s">
        <v>1036</v>
      </c>
      <c r="M392" t="s">
        <v>1037</v>
      </c>
      <c r="N392">
        <v>2017</v>
      </c>
      <c r="O392" t="s">
        <v>1029</v>
      </c>
      <c r="P392">
        <v>2</v>
      </c>
    </row>
    <row r="393" spans="1:16" x14ac:dyDescent="0.3">
      <c r="A393" s="2" t="s">
        <v>807</v>
      </c>
      <c r="B393" s="2" t="s">
        <v>808</v>
      </c>
      <c r="C393" s="2" t="s">
        <v>11</v>
      </c>
      <c r="D393">
        <v>64</v>
      </c>
      <c r="E393" s="2" t="s">
        <v>12</v>
      </c>
      <c r="F393" s="2" t="s">
        <v>13</v>
      </c>
      <c r="G393">
        <v>144677</v>
      </c>
      <c r="H393" s="2" t="s">
        <v>14</v>
      </c>
      <c r="I393" s="3">
        <v>43422</v>
      </c>
      <c r="J393" t="s">
        <v>1038</v>
      </c>
      <c r="K393">
        <v>7</v>
      </c>
      <c r="L393" t="s">
        <v>1033</v>
      </c>
      <c r="M393" t="s">
        <v>1034</v>
      </c>
      <c r="N393">
        <v>2018</v>
      </c>
      <c r="O393" t="s">
        <v>1038</v>
      </c>
      <c r="P393">
        <v>4</v>
      </c>
    </row>
    <row r="394" spans="1:16" x14ac:dyDescent="0.3">
      <c r="A394" s="2" t="s">
        <v>809</v>
      </c>
      <c r="B394" s="2" t="s">
        <v>810</v>
      </c>
      <c r="C394" s="2" t="s">
        <v>17</v>
      </c>
      <c r="D394">
        <v>58</v>
      </c>
      <c r="E394" s="2" t="s">
        <v>34</v>
      </c>
      <c r="F394" s="2" t="s">
        <v>23</v>
      </c>
      <c r="G394">
        <v>196422</v>
      </c>
      <c r="H394" s="2" t="s">
        <v>24</v>
      </c>
      <c r="I394" s="3">
        <v>44545</v>
      </c>
      <c r="J394" t="s">
        <v>1032</v>
      </c>
      <c r="K394">
        <v>4</v>
      </c>
      <c r="L394" t="s">
        <v>1033</v>
      </c>
      <c r="M394" t="s">
        <v>1031</v>
      </c>
      <c r="N394">
        <v>2021</v>
      </c>
      <c r="O394" t="s">
        <v>1032</v>
      </c>
      <c r="P394">
        <v>3</v>
      </c>
    </row>
    <row r="395" spans="1:16" x14ac:dyDescent="0.3">
      <c r="A395" s="2" t="s">
        <v>811</v>
      </c>
      <c r="B395" s="2" t="s">
        <v>812</v>
      </c>
      <c r="C395" s="2" t="s">
        <v>17</v>
      </c>
      <c r="D395">
        <v>66</v>
      </c>
      <c r="E395" s="2" t="s">
        <v>12</v>
      </c>
      <c r="F395" s="2" t="s">
        <v>37</v>
      </c>
      <c r="G395">
        <v>163273</v>
      </c>
      <c r="H395" s="2" t="s">
        <v>20</v>
      </c>
      <c r="I395" s="3">
        <v>42384</v>
      </c>
      <c r="J395" t="s">
        <v>1038</v>
      </c>
      <c r="K395">
        <v>10</v>
      </c>
      <c r="L395" t="s">
        <v>1036</v>
      </c>
      <c r="M395" t="s">
        <v>1031</v>
      </c>
      <c r="N395">
        <v>2016</v>
      </c>
      <c r="O395" t="s">
        <v>1038</v>
      </c>
      <c r="P395">
        <v>4</v>
      </c>
    </row>
    <row r="396" spans="1:16" x14ac:dyDescent="0.3">
      <c r="A396" s="2" t="s">
        <v>813</v>
      </c>
      <c r="B396" s="2" t="s">
        <v>814</v>
      </c>
      <c r="C396" s="2" t="s">
        <v>11</v>
      </c>
      <c r="D396">
        <v>31</v>
      </c>
      <c r="E396" s="2" t="s">
        <v>34</v>
      </c>
      <c r="F396" s="2" t="s">
        <v>27</v>
      </c>
      <c r="G396">
        <v>49426</v>
      </c>
      <c r="H396" s="2" t="s">
        <v>14</v>
      </c>
      <c r="I396" s="3">
        <v>45372</v>
      </c>
      <c r="J396" t="s">
        <v>1029</v>
      </c>
      <c r="K396">
        <v>2</v>
      </c>
      <c r="L396" t="s">
        <v>1030</v>
      </c>
      <c r="M396" t="s">
        <v>1037</v>
      </c>
      <c r="N396">
        <v>2024</v>
      </c>
      <c r="O396" t="s">
        <v>1029</v>
      </c>
      <c r="P396">
        <v>2</v>
      </c>
    </row>
    <row r="397" spans="1:16" x14ac:dyDescent="0.3">
      <c r="A397" s="2" t="s">
        <v>815</v>
      </c>
      <c r="B397" s="2" t="s">
        <v>816</v>
      </c>
      <c r="C397" s="2" t="s">
        <v>17</v>
      </c>
      <c r="D397">
        <v>32</v>
      </c>
      <c r="E397" s="2" t="s">
        <v>30</v>
      </c>
      <c r="F397" s="2" t="s">
        <v>23</v>
      </c>
      <c r="G397">
        <v>37778</v>
      </c>
      <c r="H397" s="2" t="s">
        <v>20</v>
      </c>
      <c r="I397" s="3">
        <v>44714</v>
      </c>
      <c r="J397" t="s">
        <v>1029</v>
      </c>
      <c r="K397">
        <v>4</v>
      </c>
      <c r="L397" t="s">
        <v>1033</v>
      </c>
      <c r="M397" t="s">
        <v>1037</v>
      </c>
      <c r="N397">
        <v>2022</v>
      </c>
      <c r="O397" t="s">
        <v>1029</v>
      </c>
      <c r="P397">
        <v>2</v>
      </c>
    </row>
    <row r="398" spans="1:16" x14ac:dyDescent="0.3">
      <c r="A398" s="2" t="s">
        <v>817</v>
      </c>
      <c r="B398" s="2" t="s">
        <v>818</v>
      </c>
      <c r="C398" s="2" t="s">
        <v>17</v>
      </c>
      <c r="D398">
        <v>48</v>
      </c>
      <c r="E398" s="2" t="s">
        <v>30</v>
      </c>
      <c r="F398" s="2" t="s">
        <v>42</v>
      </c>
      <c r="G398">
        <v>196313</v>
      </c>
      <c r="H398" s="2" t="s">
        <v>20</v>
      </c>
      <c r="I398" s="3">
        <v>44176</v>
      </c>
      <c r="J398" t="s">
        <v>1032</v>
      </c>
      <c r="K398">
        <v>5</v>
      </c>
      <c r="L398" t="s">
        <v>1033</v>
      </c>
      <c r="M398" t="s">
        <v>1031</v>
      </c>
      <c r="N398">
        <v>2020</v>
      </c>
      <c r="O398" t="s">
        <v>1032</v>
      </c>
      <c r="P398">
        <v>3</v>
      </c>
    </row>
    <row r="399" spans="1:16" x14ac:dyDescent="0.3">
      <c r="A399" s="2" t="s">
        <v>819</v>
      </c>
      <c r="B399" s="2" t="s">
        <v>820</v>
      </c>
      <c r="C399" s="2" t="s">
        <v>17</v>
      </c>
      <c r="D399">
        <v>18</v>
      </c>
      <c r="E399" s="2" t="s">
        <v>18</v>
      </c>
      <c r="F399" s="2" t="s">
        <v>23</v>
      </c>
      <c r="G399">
        <v>62229</v>
      </c>
      <c r="H399" s="2" t="s">
        <v>20</v>
      </c>
      <c r="I399" s="3">
        <v>45160</v>
      </c>
      <c r="J399" t="s">
        <v>1035</v>
      </c>
      <c r="K399">
        <v>2</v>
      </c>
      <c r="L399" t="s">
        <v>1030</v>
      </c>
      <c r="M399" t="s">
        <v>1037</v>
      </c>
      <c r="N399">
        <v>2023</v>
      </c>
      <c r="O399" t="s">
        <v>1035</v>
      </c>
      <c r="P399">
        <v>1</v>
      </c>
    </row>
    <row r="400" spans="1:16" x14ac:dyDescent="0.3">
      <c r="A400" s="2" t="s">
        <v>821</v>
      </c>
      <c r="B400" s="2" t="s">
        <v>822</v>
      </c>
      <c r="C400" s="2" t="s">
        <v>17</v>
      </c>
      <c r="D400">
        <v>70</v>
      </c>
      <c r="E400" s="2" t="s">
        <v>30</v>
      </c>
      <c r="F400" s="2" t="s">
        <v>42</v>
      </c>
      <c r="G400">
        <v>106652</v>
      </c>
      <c r="H400" s="2" t="s">
        <v>14</v>
      </c>
      <c r="I400" s="3">
        <v>45702</v>
      </c>
      <c r="J400" t="s">
        <v>1038</v>
      </c>
      <c r="K400">
        <v>1</v>
      </c>
      <c r="L400" t="s">
        <v>1039</v>
      </c>
      <c r="M400" t="s">
        <v>1034</v>
      </c>
      <c r="N400">
        <v>2025</v>
      </c>
      <c r="O400" t="s">
        <v>1038</v>
      </c>
      <c r="P400">
        <v>4</v>
      </c>
    </row>
    <row r="401" spans="1:16" x14ac:dyDescent="0.3">
      <c r="A401" s="2" t="s">
        <v>823</v>
      </c>
      <c r="B401" s="2" t="s">
        <v>824</v>
      </c>
      <c r="C401" s="2" t="s">
        <v>11</v>
      </c>
      <c r="D401">
        <v>71</v>
      </c>
      <c r="E401" s="2" t="s">
        <v>34</v>
      </c>
      <c r="F401" s="2" t="s">
        <v>37</v>
      </c>
      <c r="G401">
        <v>148267</v>
      </c>
      <c r="H401" s="2" t="s">
        <v>14</v>
      </c>
      <c r="I401" s="3">
        <v>42789</v>
      </c>
      <c r="J401" t="s">
        <v>1038</v>
      </c>
      <c r="K401">
        <v>9</v>
      </c>
      <c r="L401" t="s">
        <v>1036</v>
      </c>
      <c r="M401" t="s">
        <v>1034</v>
      </c>
      <c r="N401">
        <v>2017</v>
      </c>
      <c r="O401" t="s">
        <v>1038</v>
      </c>
      <c r="P401">
        <v>4</v>
      </c>
    </row>
    <row r="402" spans="1:16" x14ac:dyDescent="0.3">
      <c r="A402" s="2" t="s">
        <v>825</v>
      </c>
      <c r="B402" s="2" t="s">
        <v>826</v>
      </c>
      <c r="C402" s="2" t="s">
        <v>17</v>
      </c>
      <c r="D402">
        <v>71</v>
      </c>
      <c r="E402" s="2" t="s">
        <v>30</v>
      </c>
      <c r="F402" s="2" t="s">
        <v>42</v>
      </c>
      <c r="G402">
        <v>199436</v>
      </c>
      <c r="H402" s="2" t="s">
        <v>24</v>
      </c>
      <c r="I402" s="3">
        <v>44100</v>
      </c>
      <c r="J402" t="s">
        <v>1038</v>
      </c>
      <c r="K402">
        <v>5</v>
      </c>
      <c r="L402" t="s">
        <v>1033</v>
      </c>
      <c r="M402" t="s">
        <v>1031</v>
      </c>
      <c r="N402">
        <v>2020</v>
      </c>
      <c r="O402" t="s">
        <v>1038</v>
      </c>
      <c r="P402">
        <v>4</v>
      </c>
    </row>
    <row r="403" spans="1:16" x14ac:dyDescent="0.3">
      <c r="A403" s="2" t="s">
        <v>827</v>
      </c>
      <c r="B403" s="2" t="s">
        <v>828</v>
      </c>
      <c r="C403" s="2" t="s">
        <v>17</v>
      </c>
      <c r="D403">
        <v>20</v>
      </c>
      <c r="E403" s="2" t="s">
        <v>18</v>
      </c>
      <c r="F403" s="2" t="s">
        <v>23</v>
      </c>
      <c r="G403">
        <v>146503</v>
      </c>
      <c r="H403" s="2" t="s">
        <v>14</v>
      </c>
      <c r="I403" s="3">
        <v>44310</v>
      </c>
      <c r="J403" t="s">
        <v>1035</v>
      </c>
      <c r="K403">
        <v>5</v>
      </c>
      <c r="L403" t="s">
        <v>1033</v>
      </c>
      <c r="M403" t="s">
        <v>1034</v>
      </c>
      <c r="N403">
        <v>2021</v>
      </c>
      <c r="O403" t="s">
        <v>1035</v>
      </c>
      <c r="P403">
        <v>1</v>
      </c>
    </row>
    <row r="404" spans="1:16" x14ac:dyDescent="0.3">
      <c r="A404" s="2" t="s">
        <v>829</v>
      </c>
      <c r="B404" s="2" t="s">
        <v>830</v>
      </c>
      <c r="C404" s="2" t="s">
        <v>11</v>
      </c>
      <c r="D404">
        <v>33</v>
      </c>
      <c r="E404" s="2" t="s">
        <v>12</v>
      </c>
      <c r="F404" s="2" t="s">
        <v>27</v>
      </c>
      <c r="G404">
        <v>104878</v>
      </c>
      <c r="H404" s="2" t="s">
        <v>14</v>
      </c>
      <c r="I404" s="3">
        <v>43523</v>
      </c>
      <c r="J404" t="s">
        <v>1029</v>
      </c>
      <c r="K404">
        <v>7</v>
      </c>
      <c r="L404" t="s">
        <v>1033</v>
      </c>
      <c r="M404" t="s">
        <v>1034</v>
      </c>
      <c r="N404">
        <v>2019</v>
      </c>
      <c r="O404" t="s">
        <v>1029</v>
      </c>
      <c r="P404">
        <v>2</v>
      </c>
    </row>
    <row r="405" spans="1:16" x14ac:dyDescent="0.3">
      <c r="A405" s="2" t="s">
        <v>831</v>
      </c>
      <c r="B405" s="2" t="s">
        <v>832</v>
      </c>
      <c r="C405" s="2" t="s">
        <v>11</v>
      </c>
      <c r="D405">
        <v>40</v>
      </c>
      <c r="E405" s="2" t="s">
        <v>34</v>
      </c>
      <c r="F405" s="2" t="s">
        <v>31</v>
      </c>
      <c r="G405">
        <v>77056</v>
      </c>
      <c r="H405" s="2" t="s">
        <v>14</v>
      </c>
      <c r="I405" s="3">
        <v>44268</v>
      </c>
      <c r="J405" t="s">
        <v>1029</v>
      </c>
      <c r="K405">
        <v>5</v>
      </c>
      <c r="L405" t="s">
        <v>1033</v>
      </c>
      <c r="M405" t="s">
        <v>1037</v>
      </c>
      <c r="N405">
        <v>2021</v>
      </c>
      <c r="O405" t="s">
        <v>1029</v>
      </c>
      <c r="P405">
        <v>2</v>
      </c>
    </row>
    <row r="406" spans="1:16" x14ac:dyDescent="0.3">
      <c r="A406" s="2" t="s">
        <v>833</v>
      </c>
      <c r="B406" s="2" t="s">
        <v>834</v>
      </c>
      <c r="C406" s="2" t="s">
        <v>17</v>
      </c>
      <c r="D406">
        <v>74</v>
      </c>
      <c r="E406" s="2" t="s">
        <v>12</v>
      </c>
      <c r="F406" s="2" t="s">
        <v>23</v>
      </c>
      <c r="G406">
        <v>178562</v>
      </c>
      <c r="H406" s="2" t="s">
        <v>14</v>
      </c>
      <c r="I406" s="3">
        <v>45246</v>
      </c>
      <c r="J406" t="s">
        <v>1038</v>
      </c>
      <c r="K406">
        <v>2</v>
      </c>
      <c r="L406" t="s">
        <v>1030</v>
      </c>
      <c r="M406" t="s">
        <v>1031</v>
      </c>
      <c r="N406">
        <v>2023</v>
      </c>
      <c r="O406" t="s">
        <v>1038</v>
      </c>
      <c r="P406">
        <v>4</v>
      </c>
    </row>
    <row r="407" spans="1:16" x14ac:dyDescent="0.3">
      <c r="A407" s="2" t="s">
        <v>835</v>
      </c>
      <c r="B407" s="2" t="s">
        <v>836</v>
      </c>
      <c r="C407" s="2" t="s">
        <v>17</v>
      </c>
      <c r="D407">
        <v>28</v>
      </c>
      <c r="E407" s="2" t="s">
        <v>18</v>
      </c>
      <c r="F407" s="2" t="s">
        <v>42</v>
      </c>
      <c r="G407">
        <v>39975</v>
      </c>
      <c r="H407" s="2" t="s">
        <v>20</v>
      </c>
      <c r="I407" s="3">
        <v>44902</v>
      </c>
      <c r="J407" t="s">
        <v>1035</v>
      </c>
      <c r="K407">
        <v>3</v>
      </c>
      <c r="L407" t="s">
        <v>1030</v>
      </c>
      <c r="M407" t="s">
        <v>1037</v>
      </c>
      <c r="N407">
        <v>2022</v>
      </c>
      <c r="O407" t="s">
        <v>1035</v>
      </c>
      <c r="P407">
        <v>1</v>
      </c>
    </row>
    <row r="408" spans="1:16" x14ac:dyDescent="0.3">
      <c r="A408" s="2" t="s">
        <v>837</v>
      </c>
      <c r="B408" s="2" t="s">
        <v>838</v>
      </c>
      <c r="C408" s="2" t="s">
        <v>17</v>
      </c>
      <c r="D408">
        <v>29</v>
      </c>
      <c r="E408" s="2" t="s">
        <v>18</v>
      </c>
      <c r="F408" s="2" t="s">
        <v>31</v>
      </c>
      <c r="G408">
        <v>177795</v>
      </c>
      <c r="H408" s="2" t="s">
        <v>24</v>
      </c>
      <c r="I408" s="3">
        <v>43097</v>
      </c>
      <c r="J408" t="s">
        <v>1029</v>
      </c>
      <c r="K408">
        <v>8</v>
      </c>
      <c r="L408" t="s">
        <v>1036</v>
      </c>
      <c r="M408" t="s">
        <v>1031</v>
      </c>
      <c r="N408">
        <v>2017</v>
      </c>
      <c r="O408" t="s">
        <v>1029</v>
      </c>
      <c r="P408">
        <v>2</v>
      </c>
    </row>
    <row r="409" spans="1:16" x14ac:dyDescent="0.3">
      <c r="A409" s="2" t="s">
        <v>839</v>
      </c>
      <c r="B409" s="2" t="s">
        <v>840</v>
      </c>
      <c r="C409" s="2" t="s">
        <v>17</v>
      </c>
      <c r="D409">
        <v>27</v>
      </c>
      <c r="E409" s="2" t="s">
        <v>18</v>
      </c>
      <c r="F409" s="2" t="s">
        <v>42</v>
      </c>
      <c r="G409">
        <v>174351</v>
      </c>
      <c r="H409" s="2" t="s">
        <v>14</v>
      </c>
      <c r="I409" s="3">
        <v>42571</v>
      </c>
      <c r="J409" t="s">
        <v>1035</v>
      </c>
      <c r="K409">
        <v>9</v>
      </c>
      <c r="L409" t="s">
        <v>1036</v>
      </c>
      <c r="M409" t="s">
        <v>1031</v>
      </c>
      <c r="N409">
        <v>2016</v>
      </c>
      <c r="O409" t="s">
        <v>1035</v>
      </c>
      <c r="P409">
        <v>1</v>
      </c>
    </row>
    <row r="410" spans="1:16" x14ac:dyDescent="0.3">
      <c r="A410" s="2" t="s">
        <v>841</v>
      </c>
      <c r="B410" s="2" t="s">
        <v>842</v>
      </c>
      <c r="C410" s="2" t="s">
        <v>17</v>
      </c>
      <c r="D410">
        <v>49</v>
      </c>
      <c r="E410" s="2" t="s">
        <v>12</v>
      </c>
      <c r="F410" s="2" t="s">
        <v>27</v>
      </c>
      <c r="G410">
        <v>162633</v>
      </c>
      <c r="H410" s="2" t="s">
        <v>14</v>
      </c>
      <c r="I410" s="3">
        <v>43721</v>
      </c>
      <c r="J410" t="s">
        <v>1032</v>
      </c>
      <c r="K410">
        <v>6</v>
      </c>
      <c r="L410" t="s">
        <v>1033</v>
      </c>
      <c r="M410" t="s">
        <v>1031</v>
      </c>
      <c r="N410">
        <v>2019</v>
      </c>
      <c r="O410" t="s">
        <v>1032</v>
      </c>
      <c r="P410">
        <v>3</v>
      </c>
    </row>
    <row r="411" spans="1:16" x14ac:dyDescent="0.3">
      <c r="A411" s="2" t="s">
        <v>843</v>
      </c>
      <c r="B411" s="2" t="s">
        <v>844</v>
      </c>
      <c r="C411" s="2" t="s">
        <v>17</v>
      </c>
      <c r="D411">
        <v>33</v>
      </c>
      <c r="E411" s="2" t="s">
        <v>12</v>
      </c>
      <c r="F411" s="2" t="s">
        <v>42</v>
      </c>
      <c r="G411">
        <v>108397</v>
      </c>
      <c r="H411" s="2" t="s">
        <v>14</v>
      </c>
      <c r="I411" s="3">
        <v>42587</v>
      </c>
      <c r="J411" t="s">
        <v>1029</v>
      </c>
      <c r="K411">
        <v>9</v>
      </c>
      <c r="L411" t="s">
        <v>1036</v>
      </c>
      <c r="M411" t="s">
        <v>1034</v>
      </c>
      <c r="N411">
        <v>2016</v>
      </c>
      <c r="O411" t="s">
        <v>1029</v>
      </c>
      <c r="P411">
        <v>2</v>
      </c>
    </row>
    <row r="412" spans="1:16" x14ac:dyDescent="0.3">
      <c r="A412" s="2" t="s">
        <v>845</v>
      </c>
      <c r="B412" s="2" t="s">
        <v>846</v>
      </c>
      <c r="C412" s="2" t="s">
        <v>11</v>
      </c>
      <c r="D412">
        <v>25</v>
      </c>
      <c r="E412" s="2" t="s">
        <v>12</v>
      </c>
      <c r="F412" s="2" t="s">
        <v>37</v>
      </c>
      <c r="G412">
        <v>53142</v>
      </c>
      <c r="H412" s="2" t="s">
        <v>20</v>
      </c>
      <c r="I412" s="3">
        <v>43411</v>
      </c>
      <c r="J412" t="s">
        <v>1035</v>
      </c>
      <c r="K412">
        <v>7</v>
      </c>
      <c r="L412" t="s">
        <v>1033</v>
      </c>
      <c r="M412" t="s">
        <v>1037</v>
      </c>
      <c r="N412">
        <v>2018</v>
      </c>
      <c r="O412" t="s">
        <v>1035</v>
      </c>
      <c r="P412">
        <v>1</v>
      </c>
    </row>
    <row r="413" spans="1:16" x14ac:dyDescent="0.3">
      <c r="A413" s="2" t="s">
        <v>847</v>
      </c>
      <c r="B413" s="2" t="s">
        <v>848</v>
      </c>
      <c r="C413" s="2" t="s">
        <v>17</v>
      </c>
      <c r="D413">
        <v>55</v>
      </c>
      <c r="E413" s="2" t="s">
        <v>12</v>
      </c>
      <c r="F413" s="2" t="s">
        <v>13</v>
      </c>
      <c r="G413">
        <v>46916</v>
      </c>
      <c r="H413" s="2" t="s">
        <v>20</v>
      </c>
      <c r="I413" s="3">
        <v>45608</v>
      </c>
      <c r="J413" t="s">
        <v>1032</v>
      </c>
      <c r="K413">
        <v>1</v>
      </c>
      <c r="L413" t="s">
        <v>1039</v>
      </c>
      <c r="M413" t="s">
        <v>1037</v>
      </c>
      <c r="N413">
        <v>2024</v>
      </c>
      <c r="O413" t="s">
        <v>1032</v>
      </c>
      <c r="P413">
        <v>3</v>
      </c>
    </row>
    <row r="414" spans="1:16" x14ac:dyDescent="0.3">
      <c r="A414" s="2" t="s">
        <v>849</v>
      </c>
      <c r="B414" s="2" t="s">
        <v>850</v>
      </c>
      <c r="C414" s="2" t="s">
        <v>17</v>
      </c>
      <c r="D414">
        <v>29</v>
      </c>
      <c r="E414" s="2" t="s">
        <v>18</v>
      </c>
      <c r="F414" s="2" t="s">
        <v>23</v>
      </c>
      <c r="G414">
        <v>84324</v>
      </c>
      <c r="H414" s="2" t="s">
        <v>14</v>
      </c>
      <c r="I414" s="3">
        <v>44965</v>
      </c>
      <c r="J414" t="s">
        <v>1029</v>
      </c>
      <c r="K414">
        <v>3</v>
      </c>
      <c r="L414" t="s">
        <v>1030</v>
      </c>
      <c r="M414" t="s">
        <v>1037</v>
      </c>
      <c r="N414">
        <v>2023</v>
      </c>
      <c r="O414" t="s">
        <v>1029</v>
      </c>
      <c r="P414">
        <v>2</v>
      </c>
    </row>
    <row r="415" spans="1:16" x14ac:dyDescent="0.3">
      <c r="A415" s="2" t="s">
        <v>851</v>
      </c>
      <c r="B415" s="2" t="s">
        <v>852</v>
      </c>
      <c r="C415" s="2" t="s">
        <v>11</v>
      </c>
      <c r="D415">
        <v>41</v>
      </c>
      <c r="E415" s="2" t="s">
        <v>18</v>
      </c>
      <c r="F415" s="2" t="s">
        <v>13</v>
      </c>
      <c r="G415">
        <v>196037</v>
      </c>
      <c r="H415" s="2" t="s">
        <v>20</v>
      </c>
      <c r="I415" s="3">
        <v>42457</v>
      </c>
      <c r="J415" t="s">
        <v>1029</v>
      </c>
      <c r="K415">
        <v>10</v>
      </c>
      <c r="L415" t="s">
        <v>1036</v>
      </c>
      <c r="M415" t="s">
        <v>1031</v>
      </c>
      <c r="N415">
        <v>2016</v>
      </c>
      <c r="O415" t="s">
        <v>1029</v>
      </c>
      <c r="P415">
        <v>2</v>
      </c>
    </row>
    <row r="416" spans="1:16" x14ac:dyDescent="0.3">
      <c r="A416" s="2" t="s">
        <v>853</v>
      </c>
      <c r="B416" s="2" t="s">
        <v>854</v>
      </c>
      <c r="C416" s="2" t="s">
        <v>11</v>
      </c>
      <c r="D416">
        <v>45</v>
      </c>
      <c r="E416" s="2" t="s">
        <v>34</v>
      </c>
      <c r="F416" s="2" t="s">
        <v>42</v>
      </c>
      <c r="G416">
        <v>145932</v>
      </c>
      <c r="H416" s="2" t="s">
        <v>20</v>
      </c>
      <c r="I416" s="3">
        <v>45884</v>
      </c>
      <c r="J416" t="s">
        <v>1032</v>
      </c>
      <c r="K416">
        <v>0</v>
      </c>
      <c r="L416" t="s">
        <v>1039</v>
      </c>
      <c r="M416" t="s">
        <v>1034</v>
      </c>
      <c r="N416">
        <v>2025</v>
      </c>
      <c r="O416" t="s">
        <v>1032</v>
      </c>
      <c r="P416">
        <v>3</v>
      </c>
    </row>
    <row r="417" spans="1:16" x14ac:dyDescent="0.3">
      <c r="A417" s="2" t="s">
        <v>855</v>
      </c>
      <c r="B417" s="2" t="s">
        <v>856</v>
      </c>
      <c r="C417" s="2" t="s">
        <v>11</v>
      </c>
      <c r="D417">
        <v>70</v>
      </c>
      <c r="E417" s="2" t="s">
        <v>34</v>
      </c>
      <c r="F417" s="2" t="s">
        <v>27</v>
      </c>
      <c r="G417">
        <v>155720</v>
      </c>
      <c r="H417" s="2" t="s">
        <v>20</v>
      </c>
      <c r="I417" s="3">
        <v>43022</v>
      </c>
      <c r="J417" t="s">
        <v>1038</v>
      </c>
      <c r="K417">
        <v>8</v>
      </c>
      <c r="L417" t="s">
        <v>1036</v>
      </c>
      <c r="M417" t="s">
        <v>1031</v>
      </c>
      <c r="N417">
        <v>2017</v>
      </c>
      <c r="O417" t="s">
        <v>1038</v>
      </c>
      <c r="P417">
        <v>4</v>
      </c>
    </row>
    <row r="418" spans="1:16" x14ac:dyDescent="0.3">
      <c r="A418" s="2" t="s">
        <v>857</v>
      </c>
      <c r="B418" s="2" t="s">
        <v>858</v>
      </c>
      <c r="C418" s="2" t="s">
        <v>11</v>
      </c>
      <c r="D418">
        <v>25</v>
      </c>
      <c r="E418" s="2" t="s">
        <v>12</v>
      </c>
      <c r="F418" s="2" t="s">
        <v>23</v>
      </c>
      <c r="G418">
        <v>186205</v>
      </c>
      <c r="H418" s="2" t="s">
        <v>24</v>
      </c>
      <c r="I418" s="3">
        <v>45595</v>
      </c>
      <c r="J418" t="s">
        <v>1035</v>
      </c>
      <c r="K418">
        <v>1</v>
      </c>
      <c r="L418" t="s">
        <v>1039</v>
      </c>
      <c r="M418" t="s">
        <v>1031</v>
      </c>
      <c r="N418">
        <v>2024</v>
      </c>
      <c r="O418" t="s">
        <v>1035</v>
      </c>
      <c r="P418">
        <v>1</v>
      </c>
    </row>
    <row r="419" spans="1:16" x14ac:dyDescent="0.3">
      <c r="A419" s="2" t="s">
        <v>859</v>
      </c>
      <c r="B419" s="2" t="s">
        <v>860</v>
      </c>
      <c r="C419" s="2" t="s">
        <v>17</v>
      </c>
      <c r="D419">
        <v>45</v>
      </c>
      <c r="E419" s="2" t="s">
        <v>30</v>
      </c>
      <c r="F419" s="2" t="s">
        <v>42</v>
      </c>
      <c r="G419">
        <v>116059</v>
      </c>
      <c r="H419" s="2" t="s">
        <v>14</v>
      </c>
      <c r="I419" s="3">
        <v>43432</v>
      </c>
      <c r="J419" t="s">
        <v>1032</v>
      </c>
      <c r="K419">
        <v>7</v>
      </c>
      <c r="L419" t="s">
        <v>1033</v>
      </c>
      <c r="M419" t="s">
        <v>1034</v>
      </c>
      <c r="N419">
        <v>2018</v>
      </c>
      <c r="O419" t="s">
        <v>1032</v>
      </c>
      <c r="P419">
        <v>3</v>
      </c>
    </row>
    <row r="420" spans="1:16" x14ac:dyDescent="0.3">
      <c r="A420" s="2" t="s">
        <v>861</v>
      </c>
      <c r="B420" s="2" t="s">
        <v>862</v>
      </c>
      <c r="C420" s="2" t="s">
        <v>17</v>
      </c>
      <c r="D420">
        <v>53</v>
      </c>
      <c r="E420" s="2" t="s">
        <v>30</v>
      </c>
      <c r="F420" s="2" t="s">
        <v>31</v>
      </c>
      <c r="G420">
        <v>118317</v>
      </c>
      <c r="H420" s="2" t="s">
        <v>20</v>
      </c>
      <c r="I420" s="3">
        <v>42802</v>
      </c>
      <c r="J420" t="s">
        <v>1032</v>
      </c>
      <c r="K420">
        <v>9</v>
      </c>
      <c r="L420" t="s">
        <v>1036</v>
      </c>
      <c r="M420" t="s">
        <v>1034</v>
      </c>
      <c r="N420">
        <v>2017</v>
      </c>
      <c r="O420" t="s">
        <v>1032</v>
      </c>
      <c r="P420">
        <v>3</v>
      </c>
    </row>
    <row r="421" spans="1:16" x14ac:dyDescent="0.3">
      <c r="A421" s="2" t="s">
        <v>863</v>
      </c>
      <c r="B421" s="2" t="s">
        <v>864</v>
      </c>
      <c r="C421" s="2" t="s">
        <v>17</v>
      </c>
      <c r="D421">
        <v>43</v>
      </c>
      <c r="E421" s="2" t="s">
        <v>18</v>
      </c>
      <c r="F421" s="2" t="s">
        <v>19</v>
      </c>
      <c r="G421">
        <v>55046</v>
      </c>
      <c r="H421" s="2" t="s">
        <v>14</v>
      </c>
      <c r="I421" s="3">
        <v>44313</v>
      </c>
      <c r="J421" t="s">
        <v>1029</v>
      </c>
      <c r="K421">
        <v>5</v>
      </c>
      <c r="L421" t="s">
        <v>1033</v>
      </c>
      <c r="M421" t="s">
        <v>1037</v>
      </c>
      <c r="N421">
        <v>2021</v>
      </c>
      <c r="O421" t="s">
        <v>1029</v>
      </c>
      <c r="P421">
        <v>2</v>
      </c>
    </row>
    <row r="422" spans="1:16" x14ac:dyDescent="0.3">
      <c r="A422" s="2" t="s">
        <v>865</v>
      </c>
      <c r="B422" s="2" t="s">
        <v>866</v>
      </c>
      <c r="C422" s="2" t="s">
        <v>17</v>
      </c>
      <c r="D422">
        <v>25</v>
      </c>
      <c r="E422" s="2" t="s">
        <v>18</v>
      </c>
      <c r="F422" s="2" t="s">
        <v>42</v>
      </c>
      <c r="G422">
        <v>198136</v>
      </c>
      <c r="H422" s="2" t="s">
        <v>20</v>
      </c>
      <c r="I422" s="3">
        <v>42565</v>
      </c>
      <c r="J422" t="s">
        <v>1035</v>
      </c>
      <c r="K422">
        <v>9</v>
      </c>
      <c r="L422" t="s">
        <v>1036</v>
      </c>
      <c r="M422" t="s">
        <v>1031</v>
      </c>
      <c r="N422">
        <v>2016</v>
      </c>
      <c r="O422" t="s">
        <v>1035</v>
      </c>
      <c r="P422">
        <v>1</v>
      </c>
    </row>
    <row r="423" spans="1:16" x14ac:dyDescent="0.3">
      <c r="A423" s="2" t="s">
        <v>867</v>
      </c>
      <c r="B423" s="2" t="s">
        <v>868</v>
      </c>
      <c r="C423" s="2" t="s">
        <v>17</v>
      </c>
      <c r="D423">
        <v>67</v>
      </c>
      <c r="E423" s="2" t="s">
        <v>18</v>
      </c>
      <c r="F423" s="2" t="s">
        <v>13</v>
      </c>
      <c r="G423">
        <v>121459</v>
      </c>
      <c r="H423" s="2" t="s">
        <v>20</v>
      </c>
      <c r="I423" s="3">
        <v>44523</v>
      </c>
      <c r="J423" t="s">
        <v>1038</v>
      </c>
      <c r="K423">
        <v>4</v>
      </c>
      <c r="L423" t="s">
        <v>1033</v>
      </c>
      <c r="M423" t="s">
        <v>1034</v>
      </c>
      <c r="N423">
        <v>2021</v>
      </c>
      <c r="O423" t="s">
        <v>1038</v>
      </c>
      <c r="P423">
        <v>4</v>
      </c>
    </row>
    <row r="424" spans="1:16" x14ac:dyDescent="0.3">
      <c r="A424" s="2" t="s">
        <v>869</v>
      </c>
      <c r="B424" s="2" t="s">
        <v>870</v>
      </c>
      <c r="C424" s="2" t="s">
        <v>17</v>
      </c>
      <c r="D424">
        <v>45</v>
      </c>
      <c r="E424" s="2" t="s">
        <v>34</v>
      </c>
      <c r="F424" s="2" t="s">
        <v>23</v>
      </c>
      <c r="G424">
        <v>65893</v>
      </c>
      <c r="H424" s="2" t="s">
        <v>20</v>
      </c>
      <c r="I424" s="3">
        <v>44513</v>
      </c>
      <c r="J424" t="s">
        <v>1032</v>
      </c>
      <c r="K424">
        <v>4</v>
      </c>
      <c r="L424" t="s">
        <v>1033</v>
      </c>
      <c r="M424" t="s">
        <v>1037</v>
      </c>
      <c r="N424">
        <v>2021</v>
      </c>
      <c r="O424" t="s">
        <v>1032</v>
      </c>
      <c r="P424">
        <v>3</v>
      </c>
    </row>
    <row r="425" spans="1:16" x14ac:dyDescent="0.3">
      <c r="A425" s="2" t="s">
        <v>871</v>
      </c>
      <c r="B425" s="2" t="s">
        <v>870</v>
      </c>
      <c r="C425" s="2" t="s">
        <v>11</v>
      </c>
      <c r="D425">
        <v>45</v>
      </c>
      <c r="E425" s="2" t="s">
        <v>34</v>
      </c>
      <c r="F425" s="2" t="s">
        <v>13</v>
      </c>
      <c r="G425">
        <v>121520</v>
      </c>
      <c r="H425" s="2" t="s">
        <v>20</v>
      </c>
      <c r="I425" s="3">
        <v>44111</v>
      </c>
      <c r="J425" t="s">
        <v>1032</v>
      </c>
      <c r="K425">
        <v>5</v>
      </c>
      <c r="L425" t="s">
        <v>1033</v>
      </c>
      <c r="M425" t="s">
        <v>1034</v>
      </c>
      <c r="N425">
        <v>2020</v>
      </c>
      <c r="O425" t="s">
        <v>1032</v>
      </c>
      <c r="P425">
        <v>3</v>
      </c>
    </row>
    <row r="426" spans="1:16" x14ac:dyDescent="0.3">
      <c r="A426" s="2" t="s">
        <v>872</v>
      </c>
      <c r="B426" s="2" t="s">
        <v>873</v>
      </c>
      <c r="C426" s="2" t="s">
        <v>17</v>
      </c>
      <c r="D426">
        <v>54</v>
      </c>
      <c r="E426" s="2" t="s">
        <v>18</v>
      </c>
      <c r="F426" s="2" t="s">
        <v>23</v>
      </c>
      <c r="G426">
        <v>145818</v>
      </c>
      <c r="H426" s="2" t="s">
        <v>14</v>
      </c>
      <c r="I426" s="3">
        <v>42917</v>
      </c>
      <c r="J426" t="s">
        <v>1032</v>
      </c>
      <c r="K426">
        <v>9</v>
      </c>
      <c r="L426" t="s">
        <v>1036</v>
      </c>
      <c r="M426" t="s">
        <v>1034</v>
      </c>
      <c r="N426">
        <v>2017</v>
      </c>
      <c r="O426" t="s">
        <v>1032</v>
      </c>
      <c r="P426">
        <v>3</v>
      </c>
    </row>
    <row r="427" spans="1:16" x14ac:dyDescent="0.3">
      <c r="A427" s="2" t="s">
        <v>874</v>
      </c>
      <c r="B427" s="2" t="s">
        <v>875</v>
      </c>
      <c r="C427" s="2" t="s">
        <v>11</v>
      </c>
      <c r="D427">
        <v>58</v>
      </c>
      <c r="E427" s="2" t="s">
        <v>18</v>
      </c>
      <c r="F427" s="2" t="s">
        <v>42</v>
      </c>
      <c r="G427">
        <v>81272</v>
      </c>
      <c r="H427" s="2" t="s">
        <v>14</v>
      </c>
      <c r="I427" s="3">
        <v>42747</v>
      </c>
      <c r="J427" t="s">
        <v>1032</v>
      </c>
      <c r="K427">
        <v>9</v>
      </c>
      <c r="L427" t="s">
        <v>1036</v>
      </c>
      <c r="M427" t="s">
        <v>1037</v>
      </c>
      <c r="N427">
        <v>2017</v>
      </c>
      <c r="O427" t="s">
        <v>1032</v>
      </c>
      <c r="P427">
        <v>3</v>
      </c>
    </row>
    <row r="428" spans="1:16" x14ac:dyDescent="0.3">
      <c r="A428" s="2" t="s">
        <v>876</v>
      </c>
      <c r="B428" s="2" t="s">
        <v>877</v>
      </c>
      <c r="C428" s="2" t="s">
        <v>11</v>
      </c>
      <c r="D428">
        <v>53</v>
      </c>
      <c r="E428" s="2" t="s">
        <v>18</v>
      </c>
      <c r="F428" s="2" t="s">
        <v>37</v>
      </c>
      <c r="G428">
        <v>87649</v>
      </c>
      <c r="H428" s="2" t="s">
        <v>24</v>
      </c>
      <c r="I428" s="3">
        <v>45052</v>
      </c>
      <c r="J428" t="s">
        <v>1032</v>
      </c>
      <c r="K428">
        <v>3</v>
      </c>
      <c r="L428" t="s">
        <v>1030</v>
      </c>
      <c r="M428" t="s">
        <v>1037</v>
      </c>
      <c r="N428">
        <v>2023</v>
      </c>
      <c r="O428" t="s">
        <v>1032</v>
      </c>
      <c r="P428">
        <v>3</v>
      </c>
    </row>
    <row r="429" spans="1:16" x14ac:dyDescent="0.3">
      <c r="A429" s="2" t="s">
        <v>878</v>
      </c>
      <c r="B429" s="2" t="s">
        <v>879</v>
      </c>
      <c r="C429" s="2" t="s">
        <v>17</v>
      </c>
      <c r="D429">
        <v>44</v>
      </c>
      <c r="E429" s="2" t="s">
        <v>30</v>
      </c>
      <c r="F429" s="2" t="s">
        <v>31</v>
      </c>
      <c r="G429">
        <v>84674</v>
      </c>
      <c r="H429" s="2" t="s">
        <v>24</v>
      </c>
      <c r="I429" s="3">
        <v>43617</v>
      </c>
      <c r="J429" t="s">
        <v>1029</v>
      </c>
      <c r="K429">
        <v>7</v>
      </c>
      <c r="L429" t="s">
        <v>1033</v>
      </c>
      <c r="M429" t="s">
        <v>1037</v>
      </c>
      <c r="N429">
        <v>2019</v>
      </c>
      <c r="O429" t="s">
        <v>1029</v>
      </c>
      <c r="P429">
        <v>2</v>
      </c>
    </row>
    <row r="430" spans="1:16" x14ac:dyDescent="0.3">
      <c r="A430" s="2" t="s">
        <v>880</v>
      </c>
      <c r="B430" s="2" t="s">
        <v>881</v>
      </c>
      <c r="C430" s="2" t="s">
        <v>11</v>
      </c>
      <c r="D430">
        <v>71</v>
      </c>
      <c r="E430" s="2" t="s">
        <v>34</v>
      </c>
      <c r="F430" s="2" t="s">
        <v>42</v>
      </c>
      <c r="G430">
        <v>164832</v>
      </c>
      <c r="H430" s="2" t="s">
        <v>14</v>
      </c>
      <c r="I430" s="3">
        <v>42971</v>
      </c>
      <c r="J430" t="s">
        <v>1038</v>
      </c>
      <c r="K430">
        <v>8</v>
      </c>
      <c r="L430" t="s">
        <v>1036</v>
      </c>
      <c r="M430" t="s">
        <v>1031</v>
      </c>
      <c r="N430">
        <v>2017</v>
      </c>
      <c r="O430" t="s">
        <v>1038</v>
      </c>
      <c r="P430">
        <v>4</v>
      </c>
    </row>
    <row r="431" spans="1:16" x14ac:dyDescent="0.3">
      <c r="A431" s="2" t="s">
        <v>882</v>
      </c>
      <c r="B431" s="2" t="s">
        <v>883</v>
      </c>
      <c r="C431" s="2" t="s">
        <v>17</v>
      </c>
      <c r="D431">
        <v>34</v>
      </c>
      <c r="E431" s="2" t="s">
        <v>30</v>
      </c>
      <c r="F431" s="2" t="s">
        <v>13</v>
      </c>
      <c r="G431">
        <v>172999</v>
      </c>
      <c r="H431" s="2" t="s">
        <v>14</v>
      </c>
      <c r="I431" s="3">
        <v>42894</v>
      </c>
      <c r="J431" t="s">
        <v>1029</v>
      </c>
      <c r="K431">
        <v>9</v>
      </c>
      <c r="L431" t="s">
        <v>1036</v>
      </c>
      <c r="M431" t="s">
        <v>1031</v>
      </c>
      <c r="N431">
        <v>2017</v>
      </c>
      <c r="O431" t="s">
        <v>1029</v>
      </c>
      <c r="P431">
        <v>2</v>
      </c>
    </row>
    <row r="432" spans="1:16" x14ac:dyDescent="0.3">
      <c r="A432" s="2" t="s">
        <v>884</v>
      </c>
      <c r="B432" s="2" t="s">
        <v>885</v>
      </c>
      <c r="C432" s="2" t="s">
        <v>11</v>
      </c>
      <c r="D432">
        <v>26</v>
      </c>
      <c r="E432" s="2" t="s">
        <v>30</v>
      </c>
      <c r="F432" s="2" t="s">
        <v>19</v>
      </c>
      <c r="G432">
        <v>106475</v>
      </c>
      <c r="H432" s="2" t="s">
        <v>14</v>
      </c>
      <c r="I432" s="3">
        <v>45133</v>
      </c>
      <c r="J432" t="s">
        <v>1035</v>
      </c>
      <c r="K432">
        <v>2</v>
      </c>
      <c r="L432" t="s">
        <v>1030</v>
      </c>
      <c r="M432" t="s">
        <v>1034</v>
      </c>
      <c r="N432">
        <v>2023</v>
      </c>
      <c r="O432" t="s">
        <v>1035</v>
      </c>
      <c r="P432">
        <v>1</v>
      </c>
    </row>
    <row r="433" spans="1:16" x14ac:dyDescent="0.3">
      <c r="A433" s="2" t="s">
        <v>886</v>
      </c>
      <c r="B433" s="2" t="s">
        <v>887</v>
      </c>
      <c r="C433" s="2" t="s">
        <v>17</v>
      </c>
      <c r="D433">
        <v>50</v>
      </c>
      <c r="E433" s="2" t="s">
        <v>18</v>
      </c>
      <c r="F433" s="2" t="s">
        <v>19</v>
      </c>
      <c r="G433">
        <v>81367</v>
      </c>
      <c r="H433" s="2" t="s">
        <v>20</v>
      </c>
      <c r="I433" s="3">
        <v>42887</v>
      </c>
      <c r="J433" t="s">
        <v>1032</v>
      </c>
      <c r="K433">
        <v>9</v>
      </c>
      <c r="L433" t="s">
        <v>1036</v>
      </c>
      <c r="M433" t="s">
        <v>1037</v>
      </c>
      <c r="N433">
        <v>2017</v>
      </c>
      <c r="O433" t="s">
        <v>1032</v>
      </c>
      <c r="P433">
        <v>3</v>
      </c>
    </row>
    <row r="434" spans="1:16" x14ac:dyDescent="0.3">
      <c r="A434" s="2" t="s">
        <v>888</v>
      </c>
      <c r="B434" s="2" t="s">
        <v>889</v>
      </c>
      <c r="C434" s="2" t="s">
        <v>11</v>
      </c>
      <c r="D434">
        <v>70</v>
      </c>
      <c r="E434" s="2" t="s">
        <v>18</v>
      </c>
      <c r="F434" s="2" t="s">
        <v>27</v>
      </c>
      <c r="G434">
        <v>163660</v>
      </c>
      <c r="H434" s="2" t="s">
        <v>20</v>
      </c>
      <c r="I434" s="3">
        <v>43774</v>
      </c>
      <c r="J434" t="s">
        <v>1038</v>
      </c>
      <c r="K434">
        <v>6</v>
      </c>
      <c r="L434" t="s">
        <v>1033</v>
      </c>
      <c r="M434" t="s">
        <v>1031</v>
      </c>
      <c r="N434">
        <v>2019</v>
      </c>
      <c r="O434" t="s">
        <v>1038</v>
      </c>
      <c r="P434">
        <v>4</v>
      </c>
    </row>
    <row r="435" spans="1:16" x14ac:dyDescent="0.3">
      <c r="A435" s="2" t="s">
        <v>890</v>
      </c>
      <c r="B435" s="2" t="s">
        <v>891</v>
      </c>
      <c r="C435" s="2" t="s">
        <v>17</v>
      </c>
      <c r="D435">
        <v>37</v>
      </c>
      <c r="E435" s="2" t="s">
        <v>12</v>
      </c>
      <c r="F435" s="2" t="s">
        <v>23</v>
      </c>
      <c r="G435">
        <v>141750</v>
      </c>
      <c r="H435" s="2" t="s">
        <v>14</v>
      </c>
      <c r="I435" s="3">
        <v>43599</v>
      </c>
      <c r="J435" t="s">
        <v>1029</v>
      </c>
      <c r="K435">
        <v>7</v>
      </c>
      <c r="L435" t="s">
        <v>1033</v>
      </c>
      <c r="M435" t="s">
        <v>1034</v>
      </c>
      <c r="N435">
        <v>2019</v>
      </c>
      <c r="O435" t="s">
        <v>1029</v>
      </c>
      <c r="P435">
        <v>2</v>
      </c>
    </row>
    <row r="436" spans="1:16" x14ac:dyDescent="0.3">
      <c r="A436" s="2" t="s">
        <v>892</v>
      </c>
      <c r="B436" s="2" t="s">
        <v>893</v>
      </c>
      <c r="C436" s="2" t="s">
        <v>17</v>
      </c>
      <c r="D436">
        <v>30</v>
      </c>
      <c r="E436" s="2" t="s">
        <v>12</v>
      </c>
      <c r="F436" s="2" t="s">
        <v>13</v>
      </c>
      <c r="G436">
        <v>138154</v>
      </c>
      <c r="H436" s="2" t="s">
        <v>14</v>
      </c>
      <c r="I436" s="3">
        <v>44896</v>
      </c>
      <c r="J436" t="s">
        <v>1029</v>
      </c>
      <c r="K436">
        <v>3</v>
      </c>
      <c r="L436" t="s">
        <v>1030</v>
      </c>
      <c r="M436" t="s">
        <v>1034</v>
      </c>
      <c r="N436">
        <v>2022</v>
      </c>
      <c r="O436" t="s">
        <v>1029</v>
      </c>
      <c r="P436">
        <v>2</v>
      </c>
    </row>
    <row r="437" spans="1:16" x14ac:dyDescent="0.3">
      <c r="A437" s="2" t="s">
        <v>894</v>
      </c>
      <c r="B437" s="2" t="s">
        <v>895</v>
      </c>
      <c r="C437" s="2" t="s">
        <v>17</v>
      </c>
      <c r="D437">
        <v>45</v>
      </c>
      <c r="E437" s="2" t="s">
        <v>30</v>
      </c>
      <c r="F437" s="2" t="s">
        <v>27</v>
      </c>
      <c r="G437">
        <v>64738</v>
      </c>
      <c r="H437" s="2" t="s">
        <v>20</v>
      </c>
      <c r="I437" s="3">
        <v>43760</v>
      </c>
      <c r="J437" t="s">
        <v>1032</v>
      </c>
      <c r="K437">
        <v>6</v>
      </c>
      <c r="L437" t="s">
        <v>1033</v>
      </c>
      <c r="M437" t="s">
        <v>1037</v>
      </c>
      <c r="N437">
        <v>2019</v>
      </c>
      <c r="O437" t="s">
        <v>1032</v>
      </c>
      <c r="P437">
        <v>3</v>
      </c>
    </row>
    <row r="438" spans="1:16" x14ac:dyDescent="0.3">
      <c r="A438" s="2" t="s">
        <v>896</v>
      </c>
      <c r="B438" s="2" t="s">
        <v>897</v>
      </c>
      <c r="C438" s="2" t="s">
        <v>17</v>
      </c>
      <c r="D438">
        <v>65</v>
      </c>
      <c r="E438" s="2" t="s">
        <v>34</v>
      </c>
      <c r="F438" s="2" t="s">
        <v>13</v>
      </c>
      <c r="G438">
        <v>53397</v>
      </c>
      <c r="H438" s="2" t="s">
        <v>20</v>
      </c>
      <c r="I438" s="3">
        <v>45281</v>
      </c>
      <c r="J438" t="s">
        <v>1038</v>
      </c>
      <c r="K438">
        <v>2</v>
      </c>
      <c r="L438" t="s">
        <v>1030</v>
      </c>
      <c r="M438" t="s">
        <v>1037</v>
      </c>
      <c r="N438">
        <v>2023</v>
      </c>
      <c r="O438" t="s">
        <v>1038</v>
      </c>
      <c r="P438">
        <v>4</v>
      </c>
    </row>
    <row r="439" spans="1:16" x14ac:dyDescent="0.3">
      <c r="A439" s="2" t="s">
        <v>898</v>
      </c>
      <c r="B439" s="2" t="s">
        <v>899</v>
      </c>
      <c r="C439" s="2" t="s">
        <v>17</v>
      </c>
      <c r="D439">
        <v>46</v>
      </c>
      <c r="E439" s="2" t="s">
        <v>18</v>
      </c>
      <c r="F439" s="2" t="s">
        <v>23</v>
      </c>
      <c r="G439">
        <v>102189</v>
      </c>
      <c r="H439" s="2" t="s">
        <v>14</v>
      </c>
      <c r="I439" s="3">
        <v>45037</v>
      </c>
      <c r="J439" t="s">
        <v>1032</v>
      </c>
      <c r="K439">
        <v>3</v>
      </c>
      <c r="L439" t="s">
        <v>1030</v>
      </c>
      <c r="M439" t="s">
        <v>1034</v>
      </c>
      <c r="N439">
        <v>2023</v>
      </c>
      <c r="O439" t="s">
        <v>1032</v>
      </c>
      <c r="P439">
        <v>3</v>
      </c>
    </row>
    <row r="440" spans="1:16" x14ac:dyDescent="0.3">
      <c r="A440" s="2" t="s">
        <v>900</v>
      </c>
      <c r="B440" s="2" t="s">
        <v>901</v>
      </c>
      <c r="C440" s="2" t="s">
        <v>11</v>
      </c>
      <c r="D440">
        <v>30</v>
      </c>
      <c r="E440" s="2" t="s">
        <v>18</v>
      </c>
      <c r="F440" s="2" t="s">
        <v>42</v>
      </c>
      <c r="G440">
        <v>96367</v>
      </c>
      <c r="H440" s="2" t="s">
        <v>14</v>
      </c>
      <c r="I440" s="3">
        <v>45328</v>
      </c>
      <c r="J440" t="s">
        <v>1029</v>
      </c>
      <c r="K440">
        <v>2</v>
      </c>
      <c r="L440" t="s">
        <v>1030</v>
      </c>
      <c r="M440" t="s">
        <v>1037</v>
      </c>
      <c r="N440">
        <v>2024</v>
      </c>
      <c r="O440" t="s">
        <v>1029</v>
      </c>
      <c r="P440">
        <v>2</v>
      </c>
    </row>
    <row r="441" spans="1:16" x14ac:dyDescent="0.3">
      <c r="A441" s="2" t="s">
        <v>902</v>
      </c>
      <c r="B441" s="2" t="s">
        <v>903</v>
      </c>
      <c r="C441" s="2" t="s">
        <v>11</v>
      </c>
      <c r="D441">
        <v>63</v>
      </c>
      <c r="E441" s="2" t="s">
        <v>30</v>
      </c>
      <c r="F441" s="2" t="s">
        <v>42</v>
      </c>
      <c r="G441">
        <v>140585</v>
      </c>
      <c r="H441" s="2" t="s">
        <v>14</v>
      </c>
      <c r="I441" s="3">
        <v>43274</v>
      </c>
      <c r="J441" t="s">
        <v>1038</v>
      </c>
      <c r="K441">
        <v>8</v>
      </c>
      <c r="L441" t="s">
        <v>1036</v>
      </c>
      <c r="M441" t="s">
        <v>1034</v>
      </c>
      <c r="N441">
        <v>2018</v>
      </c>
      <c r="O441" t="s">
        <v>1038</v>
      </c>
      <c r="P441">
        <v>4</v>
      </c>
    </row>
    <row r="442" spans="1:16" x14ac:dyDescent="0.3">
      <c r="A442" s="2" t="s">
        <v>904</v>
      </c>
      <c r="B442" s="2" t="s">
        <v>905</v>
      </c>
      <c r="C442" s="2" t="s">
        <v>11</v>
      </c>
      <c r="D442">
        <v>52</v>
      </c>
      <c r="E442" s="2" t="s">
        <v>12</v>
      </c>
      <c r="F442" s="2" t="s">
        <v>19</v>
      </c>
      <c r="G442">
        <v>96619</v>
      </c>
      <c r="H442" s="2" t="s">
        <v>14</v>
      </c>
      <c r="I442" s="3">
        <v>44964</v>
      </c>
      <c r="J442" t="s">
        <v>1032</v>
      </c>
      <c r="K442">
        <v>3</v>
      </c>
      <c r="L442" t="s">
        <v>1030</v>
      </c>
      <c r="M442" t="s">
        <v>1037</v>
      </c>
      <c r="N442">
        <v>2023</v>
      </c>
      <c r="O442" t="s">
        <v>1032</v>
      </c>
      <c r="P442">
        <v>3</v>
      </c>
    </row>
    <row r="443" spans="1:16" x14ac:dyDescent="0.3">
      <c r="A443" s="2" t="s">
        <v>906</v>
      </c>
      <c r="B443" s="2" t="s">
        <v>907</v>
      </c>
      <c r="C443" s="2" t="s">
        <v>17</v>
      </c>
      <c r="D443">
        <v>23</v>
      </c>
      <c r="E443" s="2" t="s">
        <v>34</v>
      </c>
      <c r="F443" s="2" t="s">
        <v>42</v>
      </c>
      <c r="G443">
        <v>131453</v>
      </c>
      <c r="H443" s="2" t="s">
        <v>14</v>
      </c>
      <c r="I443" s="3">
        <v>44692</v>
      </c>
      <c r="J443" t="s">
        <v>1035</v>
      </c>
      <c r="K443">
        <v>4</v>
      </c>
      <c r="L443" t="s">
        <v>1033</v>
      </c>
      <c r="M443" t="s">
        <v>1034</v>
      </c>
      <c r="N443">
        <v>2022</v>
      </c>
      <c r="O443" t="s">
        <v>1035</v>
      </c>
      <c r="P443">
        <v>1</v>
      </c>
    </row>
    <row r="444" spans="1:16" x14ac:dyDescent="0.3">
      <c r="A444" s="2" t="s">
        <v>908</v>
      </c>
      <c r="B444" s="2" t="s">
        <v>909</v>
      </c>
      <c r="C444" s="2" t="s">
        <v>11</v>
      </c>
      <c r="D444">
        <v>35</v>
      </c>
      <c r="E444" s="2" t="s">
        <v>12</v>
      </c>
      <c r="F444" s="2" t="s">
        <v>42</v>
      </c>
      <c r="G444">
        <v>39816</v>
      </c>
      <c r="H444" s="2" t="s">
        <v>20</v>
      </c>
      <c r="I444" s="3">
        <v>43285</v>
      </c>
      <c r="J444" t="s">
        <v>1029</v>
      </c>
      <c r="K444">
        <v>8</v>
      </c>
      <c r="L444" t="s">
        <v>1036</v>
      </c>
      <c r="M444" t="s">
        <v>1037</v>
      </c>
      <c r="N444">
        <v>2018</v>
      </c>
      <c r="O444" t="s">
        <v>1029</v>
      </c>
      <c r="P444">
        <v>2</v>
      </c>
    </row>
    <row r="445" spans="1:16" x14ac:dyDescent="0.3">
      <c r="A445" s="2" t="s">
        <v>910</v>
      </c>
      <c r="B445" s="2" t="s">
        <v>911</v>
      </c>
      <c r="C445" s="2" t="s">
        <v>17</v>
      </c>
      <c r="D445">
        <v>68</v>
      </c>
      <c r="E445" s="2" t="s">
        <v>12</v>
      </c>
      <c r="F445" s="2" t="s">
        <v>37</v>
      </c>
      <c r="G445">
        <v>193312</v>
      </c>
      <c r="H445" s="2" t="s">
        <v>20</v>
      </c>
      <c r="I445" s="3">
        <v>43074</v>
      </c>
      <c r="J445" t="s">
        <v>1038</v>
      </c>
      <c r="K445">
        <v>8</v>
      </c>
      <c r="L445" t="s">
        <v>1036</v>
      </c>
      <c r="M445" t="s">
        <v>1031</v>
      </c>
      <c r="N445">
        <v>2017</v>
      </c>
      <c r="O445" t="s">
        <v>1038</v>
      </c>
      <c r="P445">
        <v>4</v>
      </c>
    </row>
    <row r="446" spans="1:16" x14ac:dyDescent="0.3">
      <c r="A446" s="2" t="s">
        <v>912</v>
      </c>
      <c r="B446" s="2" t="s">
        <v>913</v>
      </c>
      <c r="C446" s="2" t="s">
        <v>17</v>
      </c>
      <c r="D446">
        <v>22</v>
      </c>
      <c r="E446" s="2" t="s">
        <v>12</v>
      </c>
      <c r="F446" s="2" t="s">
        <v>19</v>
      </c>
      <c r="G446">
        <v>157348</v>
      </c>
      <c r="H446" s="2" t="s">
        <v>20</v>
      </c>
      <c r="I446" s="3">
        <v>44666</v>
      </c>
      <c r="J446" t="s">
        <v>1035</v>
      </c>
      <c r="K446">
        <v>4</v>
      </c>
      <c r="L446" t="s">
        <v>1033</v>
      </c>
      <c r="M446" t="s">
        <v>1031</v>
      </c>
      <c r="N446">
        <v>2022</v>
      </c>
      <c r="O446" t="s">
        <v>1035</v>
      </c>
      <c r="P446">
        <v>1</v>
      </c>
    </row>
    <row r="447" spans="1:16" x14ac:dyDescent="0.3">
      <c r="A447" s="2" t="s">
        <v>914</v>
      </c>
      <c r="B447" s="2" t="s">
        <v>915</v>
      </c>
      <c r="C447" s="2" t="s">
        <v>11</v>
      </c>
      <c r="D447">
        <v>64</v>
      </c>
      <c r="E447" s="2" t="s">
        <v>12</v>
      </c>
      <c r="F447" s="2" t="s">
        <v>27</v>
      </c>
      <c r="G447">
        <v>99530</v>
      </c>
      <c r="H447" s="2" t="s">
        <v>20</v>
      </c>
      <c r="I447" s="3">
        <v>44459</v>
      </c>
      <c r="J447" t="s">
        <v>1038</v>
      </c>
      <c r="K447">
        <v>4</v>
      </c>
      <c r="L447" t="s">
        <v>1033</v>
      </c>
      <c r="M447" t="s">
        <v>1037</v>
      </c>
      <c r="N447">
        <v>2021</v>
      </c>
      <c r="O447" t="s">
        <v>1038</v>
      </c>
      <c r="P447">
        <v>4</v>
      </c>
    </row>
    <row r="448" spans="1:16" x14ac:dyDescent="0.3">
      <c r="A448" s="2" t="s">
        <v>916</v>
      </c>
      <c r="B448" s="2" t="s">
        <v>917</v>
      </c>
      <c r="C448" s="2" t="s">
        <v>11</v>
      </c>
      <c r="D448">
        <v>42</v>
      </c>
      <c r="E448" s="2" t="s">
        <v>18</v>
      </c>
      <c r="F448" s="2" t="s">
        <v>31</v>
      </c>
      <c r="G448">
        <v>174571</v>
      </c>
      <c r="H448" s="2" t="s">
        <v>14</v>
      </c>
      <c r="I448" s="3">
        <v>44994</v>
      </c>
      <c r="J448" t="s">
        <v>1029</v>
      </c>
      <c r="K448">
        <v>3</v>
      </c>
      <c r="L448" t="s">
        <v>1030</v>
      </c>
      <c r="M448" t="s">
        <v>1031</v>
      </c>
      <c r="N448">
        <v>2023</v>
      </c>
      <c r="O448" t="s">
        <v>1029</v>
      </c>
      <c r="P448">
        <v>2</v>
      </c>
    </row>
    <row r="449" spans="1:16" x14ac:dyDescent="0.3">
      <c r="A449" s="2" t="s">
        <v>918</v>
      </c>
      <c r="B449" s="2" t="s">
        <v>919</v>
      </c>
      <c r="C449" s="2" t="s">
        <v>17</v>
      </c>
      <c r="D449">
        <v>19</v>
      </c>
      <c r="E449" s="2" t="s">
        <v>18</v>
      </c>
      <c r="F449" s="2" t="s">
        <v>37</v>
      </c>
      <c r="G449">
        <v>128856</v>
      </c>
      <c r="H449" s="2" t="s">
        <v>14</v>
      </c>
      <c r="I449" s="3">
        <v>44493</v>
      </c>
      <c r="J449" t="s">
        <v>1035</v>
      </c>
      <c r="K449">
        <v>4</v>
      </c>
      <c r="L449" t="s">
        <v>1033</v>
      </c>
      <c r="M449" t="s">
        <v>1034</v>
      </c>
      <c r="N449">
        <v>2021</v>
      </c>
      <c r="O449" t="s">
        <v>1035</v>
      </c>
      <c r="P449">
        <v>1</v>
      </c>
    </row>
    <row r="450" spans="1:16" x14ac:dyDescent="0.3">
      <c r="A450" s="2" t="s">
        <v>920</v>
      </c>
      <c r="B450" s="2" t="s">
        <v>921</v>
      </c>
      <c r="C450" s="2" t="s">
        <v>11</v>
      </c>
      <c r="D450">
        <v>27</v>
      </c>
      <c r="E450" s="2" t="s">
        <v>12</v>
      </c>
      <c r="F450" s="2" t="s">
        <v>27</v>
      </c>
      <c r="G450">
        <v>91635</v>
      </c>
      <c r="H450" s="2" t="s">
        <v>14</v>
      </c>
      <c r="I450" s="3">
        <v>44032</v>
      </c>
      <c r="J450" t="s">
        <v>1035</v>
      </c>
      <c r="K450">
        <v>5</v>
      </c>
      <c r="L450" t="s">
        <v>1033</v>
      </c>
      <c r="M450" t="s">
        <v>1037</v>
      </c>
      <c r="N450">
        <v>2020</v>
      </c>
      <c r="O450" t="s">
        <v>1035</v>
      </c>
      <c r="P450">
        <v>1</v>
      </c>
    </row>
    <row r="451" spans="1:16" x14ac:dyDescent="0.3">
      <c r="A451" s="2" t="s">
        <v>922</v>
      </c>
      <c r="B451" s="2" t="s">
        <v>923</v>
      </c>
      <c r="C451" s="2" t="s">
        <v>17</v>
      </c>
      <c r="D451">
        <v>73</v>
      </c>
      <c r="E451" s="2" t="s">
        <v>34</v>
      </c>
      <c r="F451" s="2" t="s">
        <v>23</v>
      </c>
      <c r="G451">
        <v>127803</v>
      </c>
      <c r="H451" s="2" t="s">
        <v>14</v>
      </c>
      <c r="I451" s="3">
        <v>45486</v>
      </c>
      <c r="J451" t="s">
        <v>1038</v>
      </c>
      <c r="K451">
        <v>1</v>
      </c>
      <c r="L451" t="s">
        <v>1039</v>
      </c>
      <c r="M451" t="s">
        <v>1034</v>
      </c>
      <c r="N451">
        <v>2024</v>
      </c>
      <c r="O451" t="s">
        <v>1038</v>
      </c>
      <c r="P451">
        <v>4</v>
      </c>
    </row>
    <row r="452" spans="1:16" x14ac:dyDescent="0.3">
      <c r="A452" s="2" t="s">
        <v>924</v>
      </c>
      <c r="B452" s="2" t="s">
        <v>925</v>
      </c>
      <c r="C452" s="2" t="s">
        <v>17</v>
      </c>
      <c r="D452">
        <v>47</v>
      </c>
      <c r="E452" s="2" t="s">
        <v>30</v>
      </c>
      <c r="F452" s="2" t="s">
        <v>37</v>
      </c>
      <c r="G452">
        <v>55946</v>
      </c>
      <c r="H452" s="2" t="s">
        <v>20</v>
      </c>
      <c r="I452" s="3">
        <v>42580</v>
      </c>
      <c r="J452" t="s">
        <v>1032</v>
      </c>
      <c r="K452">
        <v>9</v>
      </c>
      <c r="L452" t="s">
        <v>1036</v>
      </c>
      <c r="M452" t="s">
        <v>1037</v>
      </c>
      <c r="N452">
        <v>2016</v>
      </c>
      <c r="O452" t="s">
        <v>1032</v>
      </c>
      <c r="P452">
        <v>3</v>
      </c>
    </row>
    <row r="453" spans="1:16" x14ac:dyDescent="0.3">
      <c r="A453" s="2" t="s">
        <v>926</v>
      </c>
      <c r="B453" s="2" t="s">
        <v>927</v>
      </c>
      <c r="C453" s="2" t="s">
        <v>17</v>
      </c>
      <c r="D453">
        <v>67</v>
      </c>
      <c r="E453" s="2" t="s">
        <v>34</v>
      </c>
      <c r="F453" s="2" t="s">
        <v>27</v>
      </c>
      <c r="G453">
        <v>75204</v>
      </c>
      <c r="H453" s="2" t="s">
        <v>24</v>
      </c>
      <c r="I453" s="3">
        <v>45412</v>
      </c>
      <c r="J453" t="s">
        <v>1038</v>
      </c>
      <c r="K453">
        <v>2</v>
      </c>
      <c r="L453" t="s">
        <v>1030</v>
      </c>
      <c r="M453" t="s">
        <v>1037</v>
      </c>
      <c r="N453">
        <v>2024</v>
      </c>
      <c r="O453" t="s">
        <v>1038</v>
      </c>
      <c r="P453">
        <v>4</v>
      </c>
    </row>
    <row r="454" spans="1:16" x14ac:dyDescent="0.3">
      <c r="A454" s="2" t="s">
        <v>928</v>
      </c>
      <c r="B454" s="2" t="s">
        <v>929</v>
      </c>
      <c r="C454" s="2" t="s">
        <v>17</v>
      </c>
      <c r="D454">
        <v>62</v>
      </c>
      <c r="E454" s="2" t="s">
        <v>34</v>
      </c>
      <c r="F454" s="2" t="s">
        <v>23</v>
      </c>
      <c r="G454">
        <v>35563</v>
      </c>
      <c r="H454" s="2" t="s">
        <v>14</v>
      </c>
      <c r="I454" s="3">
        <v>43669</v>
      </c>
      <c r="J454" t="s">
        <v>1038</v>
      </c>
      <c r="K454">
        <v>6</v>
      </c>
      <c r="L454" t="s">
        <v>1033</v>
      </c>
      <c r="M454" t="s">
        <v>1037</v>
      </c>
      <c r="N454">
        <v>2019</v>
      </c>
      <c r="O454" t="s">
        <v>1038</v>
      </c>
      <c r="P454">
        <v>4</v>
      </c>
    </row>
    <row r="455" spans="1:16" x14ac:dyDescent="0.3">
      <c r="A455" s="2" t="s">
        <v>930</v>
      </c>
      <c r="B455" s="2" t="s">
        <v>931</v>
      </c>
      <c r="C455" s="2" t="s">
        <v>17</v>
      </c>
      <c r="D455">
        <v>22</v>
      </c>
      <c r="E455" s="2" t="s">
        <v>34</v>
      </c>
      <c r="F455" s="2" t="s">
        <v>19</v>
      </c>
      <c r="G455">
        <v>112324</v>
      </c>
      <c r="H455" s="2" t="s">
        <v>14</v>
      </c>
      <c r="I455" s="3">
        <v>43074</v>
      </c>
      <c r="J455" t="s">
        <v>1035</v>
      </c>
      <c r="K455">
        <v>8</v>
      </c>
      <c r="L455" t="s">
        <v>1036</v>
      </c>
      <c r="M455" t="s">
        <v>1034</v>
      </c>
      <c r="N455">
        <v>2017</v>
      </c>
      <c r="O455" t="s">
        <v>1035</v>
      </c>
      <c r="P455">
        <v>1</v>
      </c>
    </row>
    <row r="456" spans="1:16" x14ac:dyDescent="0.3">
      <c r="A456" s="2" t="s">
        <v>932</v>
      </c>
      <c r="B456" s="2" t="s">
        <v>933</v>
      </c>
      <c r="C456" s="2" t="s">
        <v>11</v>
      </c>
      <c r="D456">
        <v>72</v>
      </c>
      <c r="E456" s="2" t="s">
        <v>12</v>
      </c>
      <c r="F456" s="2" t="s">
        <v>31</v>
      </c>
      <c r="G456">
        <v>29847</v>
      </c>
      <c r="H456" s="2" t="s">
        <v>20</v>
      </c>
      <c r="I456" s="3">
        <v>44557</v>
      </c>
      <c r="J456" t="s">
        <v>1038</v>
      </c>
      <c r="K456">
        <v>4</v>
      </c>
      <c r="L456" t="s">
        <v>1033</v>
      </c>
      <c r="M456" t="s">
        <v>1037</v>
      </c>
      <c r="N456">
        <v>2021</v>
      </c>
      <c r="O456" t="s">
        <v>1038</v>
      </c>
      <c r="P456">
        <v>4</v>
      </c>
    </row>
    <row r="457" spans="1:16" x14ac:dyDescent="0.3">
      <c r="A457" s="2" t="s">
        <v>934</v>
      </c>
      <c r="B457" s="2" t="s">
        <v>935</v>
      </c>
      <c r="C457" s="2" t="s">
        <v>11</v>
      </c>
      <c r="D457">
        <v>73</v>
      </c>
      <c r="E457" s="2" t="s">
        <v>18</v>
      </c>
      <c r="F457" s="2" t="s">
        <v>23</v>
      </c>
      <c r="G457">
        <v>46155</v>
      </c>
      <c r="H457" s="2" t="s">
        <v>14</v>
      </c>
      <c r="I457" s="3">
        <v>42386</v>
      </c>
      <c r="J457" t="s">
        <v>1038</v>
      </c>
      <c r="K457">
        <v>10</v>
      </c>
      <c r="L457" t="s">
        <v>1036</v>
      </c>
      <c r="M457" t="s">
        <v>1037</v>
      </c>
      <c r="N457">
        <v>2016</v>
      </c>
      <c r="O457" t="s">
        <v>1038</v>
      </c>
      <c r="P457">
        <v>4</v>
      </c>
    </row>
    <row r="458" spans="1:16" x14ac:dyDescent="0.3">
      <c r="A458" s="2" t="s">
        <v>936</v>
      </c>
      <c r="B458" s="2" t="s">
        <v>937</v>
      </c>
      <c r="C458" s="2" t="s">
        <v>17</v>
      </c>
      <c r="D458">
        <v>50</v>
      </c>
      <c r="E458" s="2" t="s">
        <v>34</v>
      </c>
      <c r="F458" s="2" t="s">
        <v>42</v>
      </c>
      <c r="G458">
        <v>99671</v>
      </c>
      <c r="H458" s="2" t="s">
        <v>14</v>
      </c>
      <c r="I458" s="3">
        <v>42416</v>
      </c>
      <c r="J458" t="s">
        <v>1032</v>
      </c>
      <c r="K458">
        <v>10</v>
      </c>
      <c r="L458" t="s">
        <v>1036</v>
      </c>
      <c r="M458" t="s">
        <v>1037</v>
      </c>
      <c r="N458">
        <v>2016</v>
      </c>
      <c r="O458" t="s">
        <v>1032</v>
      </c>
      <c r="P458">
        <v>3</v>
      </c>
    </row>
    <row r="459" spans="1:16" x14ac:dyDescent="0.3">
      <c r="A459" s="2" t="s">
        <v>938</v>
      </c>
      <c r="B459" s="2" t="s">
        <v>939</v>
      </c>
      <c r="C459" s="2" t="s">
        <v>17</v>
      </c>
      <c r="D459">
        <v>71</v>
      </c>
      <c r="E459" s="2" t="s">
        <v>12</v>
      </c>
      <c r="F459" s="2" t="s">
        <v>13</v>
      </c>
      <c r="G459">
        <v>136891</v>
      </c>
      <c r="H459" s="2" t="s">
        <v>20</v>
      </c>
      <c r="I459" s="3">
        <v>45469</v>
      </c>
      <c r="J459" t="s">
        <v>1038</v>
      </c>
      <c r="K459">
        <v>2</v>
      </c>
      <c r="L459" t="s">
        <v>1030</v>
      </c>
      <c r="M459" t="s">
        <v>1034</v>
      </c>
      <c r="N459">
        <v>2024</v>
      </c>
      <c r="O459" t="s">
        <v>1038</v>
      </c>
      <c r="P459">
        <v>4</v>
      </c>
    </row>
    <row r="460" spans="1:16" x14ac:dyDescent="0.3">
      <c r="A460" s="2" t="s">
        <v>940</v>
      </c>
      <c r="B460" s="2" t="s">
        <v>941</v>
      </c>
      <c r="C460" s="2" t="s">
        <v>11</v>
      </c>
      <c r="D460">
        <v>18</v>
      </c>
      <c r="E460" s="2" t="s">
        <v>34</v>
      </c>
      <c r="F460" s="2" t="s">
        <v>23</v>
      </c>
      <c r="G460">
        <v>103310</v>
      </c>
      <c r="H460" s="2" t="s">
        <v>20</v>
      </c>
      <c r="I460" s="3">
        <v>43849</v>
      </c>
      <c r="J460" t="s">
        <v>1035</v>
      </c>
      <c r="K460">
        <v>6</v>
      </c>
      <c r="L460" t="s">
        <v>1033</v>
      </c>
      <c r="M460" t="s">
        <v>1034</v>
      </c>
      <c r="N460">
        <v>2020</v>
      </c>
      <c r="O460" t="s">
        <v>1035</v>
      </c>
      <c r="P460">
        <v>1</v>
      </c>
    </row>
    <row r="461" spans="1:16" x14ac:dyDescent="0.3">
      <c r="A461" s="2" t="s">
        <v>942</v>
      </c>
      <c r="B461" s="2" t="s">
        <v>943</v>
      </c>
      <c r="C461" s="2" t="s">
        <v>11</v>
      </c>
      <c r="D461">
        <v>35</v>
      </c>
      <c r="E461" s="2" t="s">
        <v>34</v>
      </c>
      <c r="F461" s="2" t="s">
        <v>23</v>
      </c>
      <c r="G461">
        <v>169381</v>
      </c>
      <c r="H461" s="2" t="s">
        <v>14</v>
      </c>
      <c r="I461" s="3">
        <v>44357</v>
      </c>
      <c r="J461" t="s">
        <v>1029</v>
      </c>
      <c r="K461">
        <v>5</v>
      </c>
      <c r="L461" t="s">
        <v>1033</v>
      </c>
      <c r="M461" t="s">
        <v>1031</v>
      </c>
      <c r="N461">
        <v>2021</v>
      </c>
      <c r="O461" t="s">
        <v>1029</v>
      </c>
      <c r="P461">
        <v>2</v>
      </c>
    </row>
    <row r="462" spans="1:16" x14ac:dyDescent="0.3">
      <c r="A462" s="2" t="s">
        <v>944</v>
      </c>
      <c r="B462" s="2" t="s">
        <v>945</v>
      </c>
      <c r="C462" s="2" t="s">
        <v>17</v>
      </c>
      <c r="D462">
        <v>49</v>
      </c>
      <c r="E462" s="2" t="s">
        <v>12</v>
      </c>
      <c r="F462" s="2" t="s">
        <v>31</v>
      </c>
      <c r="G462">
        <v>151691</v>
      </c>
      <c r="H462" s="2" t="s">
        <v>14</v>
      </c>
      <c r="I462" s="3">
        <v>43401</v>
      </c>
      <c r="J462" t="s">
        <v>1032</v>
      </c>
      <c r="K462">
        <v>7</v>
      </c>
      <c r="L462" t="s">
        <v>1033</v>
      </c>
      <c r="M462" t="s">
        <v>1031</v>
      </c>
      <c r="N462">
        <v>2018</v>
      </c>
      <c r="O462" t="s">
        <v>1032</v>
      </c>
      <c r="P462">
        <v>3</v>
      </c>
    </row>
    <row r="463" spans="1:16" x14ac:dyDescent="0.3">
      <c r="A463" s="2" t="s">
        <v>946</v>
      </c>
      <c r="B463" s="2" t="s">
        <v>947</v>
      </c>
      <c r="C463" s="2" t="s">
        <v>11</v>
      </c>
      <c r="D463">
        <v>64</v>
      </c>
      <c r="E463" s="2" t="s">
        <v>18</v>
      </c>
      <c r="F463" s="2" t="s">
        <v>13</v>
      </c>
      <c r="G463">
        <v>54707</v>
      </c>
      <c r="H463" s="2" t="s">
        <v>20</v>
      </c>
      <c r="I463" s="3">
        <v>43726</v>
      </c>
      <c r="J463" t="s">
        <v>1038</v>
      </c>
      <c r="K463">
        <v>6</v>
      </c>
      <c r="L463" t="s">
        <v>1033</v>
      </c>
      <c r="M463" t="s">
        <v>1037</v>
      </c>
      <c r="N463">
        <v>2019</v>
      </c>
      <c r="O463" t="s">
        <v>1038</v>
      </c>
      <c r="P463">
        <v>4</v>
      </c>
    </row>
    <row r="464" spans="1:16" x14ac:dyDescent="0.3">
      <c r="A464" s="2" t="s">
        <v>948</v>
      </c>
      <c r="B464" s="2" t="s">
        <v>949</v>
      </c>
      <c r="C464" s="2" t="s">
        <v>17</v>
      </c>
      <c r="D464">
        <v>66</v>
      </c>
      <c r="E464" s="2" t="s">
        <v>18</v>
      </c>
      <c r="F464" s="2" t="s">
        <v>42</v>
      </c>
      <c r="G464">
        <v>171409</v>
      </c>
      <c r="H464" s="2" t="s">
        <v>14</v>
      </c>
      <c r="I464" s="3">
        <v>45484</v>
      </c>
      <c r="J464" t="s">
        <v>1038</v>
      </c>
      <c r="K464">
        <v>1</v>
      </c>
      <c r="L464" t="s">
        <v>1039</v>
      </c>
      <c r="M464" t="s">
        <v>1031</v>
      </c>
      <c r="N464">
        <v>2024</v>
      </c>
      <c r="O464" t="s">
        <v>1038</v>
      </c>
      <c r="P464">
        <v>4</v>
      </c>
    </row>
    <row r="465" spans="1:16" x14ac:dyDescent="0.3">
      <c r="A465" s="2" t="s">
        <v>950</v>
      </c>
      <c r="B465" s="2" t="s">
        <v>951</v>
      </c>
      <c r="C465" s="2" t="s">
        <v>11</v>
      </c>
      <c r="D465">
        <v>28</v>
      </c>
      <c r="E465" s="2" t="s">
        <v>30</v>
      </c>
      <c r="F465" s="2" t="s">
        <v>27</v>
      </c>
      <c r="G465">
        <v>101537</v>
      </c>
      <c r="H465" s="2" t="s">
        <v>14</v>
      </c>
      <c r="I465" s="3">
        <v>43028</v>
      </c>
      <c r="J465" t="s">
        <v>1035</v>
      </c>
      <c r="K465">
        <v>8</v>
      </c>
      <c r="L465" t="s">
        <v>1036</v>
      </c>
      <c r="M465" t="s">
        <v>1034</v>
      </c>
      <c r="N465">
        <v>2017</v>
      </c>
      <c r="O465" t="s">
        <v>1035</v>
      </c>
      <c r="P465">
        <v>1</v>
      </c>
    </row>
    <row r="466" spans="1:16" x14ac:dyDescent="0.3">
      <c r="A466" s="2" t="s">
        <v>952</v>
      </c>
      <c r="B466" s="2" t="s">
        <v>953</v>
      </c>
      <c r="C466" s="2" t="s">
        <v>17</v>
      </c>
      <c r="D466">
        <v>38</v>
      </c>
      <c r="E466" s="2" t="s">
        <v>12</v>
      </c>
      <c r="F466" s="2" t="s">
        <v>27</v>
      </c>
      <c r="G466">
        <v>198686</v>
      </c>
      <c r="H466" s="2" t="s">
        <v>20</v>
      </c>
      <c r="I466" s="3">
        <v>45801</v>
      </c>
      <c r="J466" t="s">
        <v>1029</v>
      </c>
      <c r="K466">
        <v>1</v>
      </c>
      <c r="L466" t="s">
        <v>1039</v>
      </c>
      <c r="M466" t="s">
        <v>1031</v>
      </c>
      <c r="N466">
        <v>2025</v>
      </c>
      <c r="O466" t="s">
        <v>1029</v>
      </c>
      <c r="P466">
        <v>2</v>
      </c>
    </row>
    <row r="467" spans="1:16" x14ac:dyDescent="0.3">
      <c r="A467" s="2" t="s">
        <v>954</v>
      </c>
      <c r="B467" s="2" t="s">
        <v>955</v>
      </c>
      <c r="C467" s="2" t="s">
        <v>11</v>
      </c>
      <c r="D467">
        <v>43</v>
      </c>
      <c r="E467" s="2" t="s">
        <v>30</v>
      </c>
      <c r="F467" s="2" t="s">
        <v>23</v>
      </c>
      <c r="G467">
        <v>111155</v>
      </c>
      <c r="H467" s="2" t="s">
        <v>14</v>
      </c>
      <c r="I467" s="3">
        <v>44745</v>
      </c>
      <c r="J467" t="s">
        <v>1029</v>
      </c>
      <c r="K467">
        <v>4</v>
      </c>
      <c r="L467" t="s">
        <v>1033</v>
      </c>
      <c r="M467" t="s">
        <v>1034</v>
      </c>
      <c r="N467">
        <v>2022</v>
      </c>
      <c r="O467" t="s">
        <v>1029</v>
      </c>
      <c r="P467">
        <v>2</v>
      </c>
    </row>
    <row r="468" spans="1:16" x14ac:dyDescent="0.3">
      <c r="A468" s="2" t="s">
        <v>956</v>
      </c>
      <c r="B468" s="2" t="s">
        <v>957</v>
      </c>
      <c r="C468" s="2" t="s">
        <v>17</v>
      </c>
      <c r="D468">
        <v>42</v>
      </c>
      <c r="E468" s="2" t="s">
        <v>30</v>
      </c>
      <c r="F468" s="2" t="s">
        <v>13</v>
      </c>
      <c r="G468">
        <v>20281</v>
      </c>
      <c r="H468" s="2" t="s">
        <v>20</v>
      </c>
      <c r="I468" s="3">
        <v>44498</v>
      </c>
      <c r="J468" t="s">
        <v>1029</v>
      </c>
      <c r="K468">
        <v>4</v>
      </c>
      <c r="L468" t="s">
        <v>1033</v>
      </c>
      <c r="M468" t="s">
        <v>1037</v>
      </c>
      <c r="N468">
        <v>2021</v>
      </c>
      <c r="O468" t="s">
        <v>1029</v>
      </c>
      <c r="P468">
        <v>2</v>
      </c>
    </row>
    <row r="469" spans="1:16" x14ac:dyDescent="0.3">
      <c r="A469" s="2" t="s">
        <v>958</v>
      </c>
      <c r="B469" s="2" t="s">
        <v>959</v>
      </c>
      <c r="C469" s="2" t="s">
        <v>11</v>
      </c>
      <c r="D469">
        <v>39</v>
      </c>
      <c r="E469" s="2" t="s">
        <v>30</v>
      </c>
      <c r="F469" s="2" t="s">
        <v>13</v>
      </c>
      <c r="G469">
        <v>178492</v>
      </c>
      <c r="H469" s="2" t="s">
        <v>14</v>
      </c>
      <c r="I469" s="3">
        <v>45319</v>
      </c>
      <c r="J469" t="s">
        <v>1029</v>
      </c>
      <c r="K469">
        <v>2</v>
      </c>
      <c r="L469" t="s">
        <v>1030</v>
      </c>
      <c r="M469" t="s">
        <v>1031</v>
      </c>
      <c r="N469">
        <v>2024</v>
      </c>
      <c r="O469" t="s">
        <v>1029</v>
      </c>
      <c r="P469">
        <v>2</v>
      </c>
    </row>
    <row r="470" spans="1:16" x14ac:dyDescent="0.3">
      <c r="A470" s="2" t="s">
        <v>960</v>
      </c>
      <c r="B470" s="2" t="s">
        <v>961</v>
      </c>
      <c r="C470" s="2" t="s">
        <v>11</v>
      </c>
      <c r="D470">
        <v>44</v>
      </c>
      <c r="E470" s="2" t="s">
        <v>18</v>
      </c>
      <c r="F470" s="2" t="s">
        <v>42</v>
      </c>
      <c r="G470">
        <v>190102</v>
      </c>
      <c r="H470" s="2" t="s">
        <v>24</v>
      </c>
      <c r="I470" s="3">
        <v>42954</v>
      </c>
      <c r="J470" t="s">
        <v>1029</v>
      </c>
      <c r="K470">
        <v>8</v>
      </c>
      <c r="L470" t="s">
        <v>1036</v>
      </c>
      <c r="M470" t="s">
        <v>1031</v>
      </c>
      <c r="N470">
        <v>2017</v>
      </c>
      <c r="O470" t="s">
        <v>1029</v>
      </c>
      <c r="P470">
        <v>2</v>
      </c>
    </row>
    <row r="471" spans="1:16" x14ac:dyDescent="0.3">
      <c r="A471" s="2" t="s">
        <v>962</v>
      </c>
      <c r="B471" s="2" t="s">
        <v>963</v>
      </c>
      <c r="C471" s="2" t="s">
        <v>17</v>
      </c>
      <c r="D471">
        <v>66</v>
      </c>
      <c r="E471" s="2" t="s">
        <v>12</v>
      </c>
      <c r="F471" s="2" t="s">
        <v>31</v>
      </c>
      <c r="G471">
        <v>152130</v>
      </c>
      <c r="H471" s="2" t="s">
        <v>14</v>
      </c>
      <c r="I471" s="3">
        <v>44345</v>
      </c>
      <c r="J471" t="s">
        <v>1038</v>
      </c>
      <c r="K471">
        <v>5</v>
      </c>
      <c r="L471" t="s">
        <v>1033</v>
      </c>
      <c r="M471" t="s">
        <v>1031</v>
      </c>
      <c r="N471">
        <v>2021</v>
      </c>
      <c r="O471" t="s">
        <v>1038</v>
      </c>
      <c r="P471">
        <v>4</v>
      </c>
    </row>
    <row r="472" spans="1:16" x14ac:dyDescent="0.3">
      <c r="A472" s="2" t="s">
        <v>964</v>
      </c>
      <c r="B472" s="2" t="s">
        <v>965</v>
      </c>
      <c r="C472" s="2" t="s">
        <v>11</v>
      </c>
      <c r="D472">
        <v>30</v>
      </c>
      <c r="E472" s="2" t="s">
        <v>30</v>
      </c>
      <c r="F472" s="2" t="s">
        <v>19</v>
      </c>
      <c r="G472">
        <v>96260</v>
      </c>
      <c r="H472" s="2" t="s">
        <v>14</v>
      </c>
      <c r="I472" s="3">
        <v>45664</v>
      </c>
      <c r="J472" t="s">
        <v>1029</v>
      </c>
      <c r="K472">
        <v>1</v>
      </c>
      <c r="L472" t="s">
        <v>1039</v>
      </c>
      <c r="M472" t="s">
        <v>1037</v>
      </c>
      <c r="N472">
        <v>2025</v>
      </c>
      <c r="O472" t="s">
        <v>1029</v>
      </c>
      <c r="P472">
        <v>2</v>
      </c>
    </row>
    <row r="473" spans="1:16" x14ac:dyDescent="0.3">
      <c r="A473" s="2" t="s">
        <v>966</v>
      </c>
      <c r="B473" s="2" t="s">
        <v>967</v>
      </c>
      <c r="C473" s="2" t="s">
        <v>17</v>
      </c>
      <c r="D473">
        <v>50</v>
      </c>
      <c r="E473" s="2" t="s">
        <v>12</v>
      </c>
      <c r="F473" s="2" t="s">
        <v>27</v>
      </c>
      <c r="G473">
        <v>179476</v>
      </c>
      <c r="H473" s="2" t="s">
        <v>14</v>
      </c>
      <c r="I473" s="3">
        <v>43369</v>
      </c>
      <c r="J473" t="s">
        <v>1032</v>
      </c>
      <c r="K473">
        <v>7</v>
      </c>
      <c r="L473" t="s">
        <v>1033</v>
      </c>
      <c r="M473" t="s">
        <v>1031</v>
      </c>
      <c r="N473">
        <v>2018</v>
      </c>
      <c r="O473" t="s">
        <v>1032</v>
      </c>
      <c r="P473">
        <v>3</v>
      </c>
    </row>
    <row r="474" spans="1:16" x14ac:dyDescent="0.3">
      <c r="A474" s="2" t="s">
        <v>968</v>
      </c>
      <c r="B474" s="2" t="s">
        <v>969</v>
      </c>
      <c r="C474" s="2" t="s">
        <v>11</v>
      </c>
      <c r="D474">
        <v>51</v>
      </c>
      <c r="E474" s="2" t="s">
        <v>12</v>
      </c>
      <c r="F474" s="2" t="s">
        <v>31</v>
      </c>
      <c r="G474">
        <v>180928</v>
      </c>
      <c r="H474" s="2" t="s">
        <v>14</v>
      </c>
      <c r="I474" s="3">
        <v>44083</v>
      </c>
      <c r="J474" t="s">
        <v>1032</v>
      </c>
      <c r="K474">
        <v>5</v>
      </c>
      <c r="L474" t="s">
        <v>1033</v>
      </c>
      <c r="M474" t="s">
        <v>1031</v>
      </c>
      <c r="N474">
        <v>2020</v>
      </c>
      <c r="O474" t="s">
        <v>1032</v>
      </c>
      <c r="P474">
        <v>3</v>
      </c>
    </row>
    <row r="475" spans="1:16" x14ac:dyDescent="0.3">
      <c r="A475" s="2" t="s">
        <v>970</v>
      </c>
      <c r="B475" s="2" t="s">
        <v>971</v>
      </c>
      <c r="C475" s="2" t="s">
        <v>17</v>
      </c>
      <c r="D475">
        <v>58</v>
      </c>
      <c r="E475" s="2" t="s">
        <v>18</v>
      </c>
      <c r="F475" s="2" t="s">
        <v>37</v>
      </c>
      <c r="G475">
        <v>160272</v>
      </c>
      <c r="H475" s="2" t="s">
        <v>20</v>
      </c>
      <c r="I475" s="3">
        <v>43719</v>
      </c>
      <c r="J475" t="s">
        <v>1032</v>
      </c>
      <c r="K475">
        <v>6</v>
      </c>
      <c r="L475" t="s">
        <v>1033</v>
      </c>
      <c r="M475" t="s">
        <v>1031</v>
      </c>
      <c r="N475">
        <v>2019</v>
      </c>
      <c r="O475" t="s">
        <v>1032</v>
      </c>
      <c r="P475">
        <v>3</v>
      </c>
    </row>
    <row r="476" spans="1:16" x14ac:dyDescent="0.3">
      <c r="A476" s="2" t="s">
        <v>972</v>
      </c>
      <c r="B476" s="2" t="s">
        <v>973</v>
      </c>
      <c r="C476" s="2" t="s">
        <v>11</v>
      </c>
      <c r="D476">
        <v>52</v>
      </c>
      <c r="E476" s="2" t="s">
        <v>30</v>
      </c>
      <c r="F476" s="2" t="s">
        <v>27</v>
      </c>
      <c r="G476">
        <v>84178</v>
      </c>
      <c r="H476" s="2" t="s">
        <v>24</v>
      </c>
      <c r="I476" s="3">
        <v>44123</v>
      </c>
      <c r="J476" t="s">
        <v>1032</v>
      </c>
      <c r="K476">
        <v>5</v>
      </c>
      <c r="L476" t="s">
        <v>1033</v>
      </c>
      <c r="M476" t="s">
        <v>1037</v>
      </c>
      <c r="N476">
        <v>2020</v>
      </c>
      <c r="O476" t="s">
        <v>1032</v>
      </c>
      <c r="P476">
        <v>3</v>
      </c>
    </row>
    <row r="477" spans="1:16" x14ac:dyDescent="0.3">
      <c r="A477" s="2" t="s">
        <v>974</v>
      </c>
      <c r="B477" s="2" t="s">
        <v>975</v>
      </c>
      <c r="C477" s="2" t="s">
        <v>17</v>
      </c>
      <c r="D477">
        <v>18</v>
      </c>
      <c r="E477" s="2" t="s">
        <v>30</v>
      </c>
      <c r="F477" s="2" t="s">
        <v>31</v>
      </c>
      <c r="G477">
        <v>53997</v>
      </c>
      <c r="H477" s="2" t="s">
        <v>14</v>
      </c>
      <c r="I477" s="3">
        <v>43488</v>
      </c>
      <c r="J477" t="s">
        <v>1035</v>
      </c>
      <c r="K477">
        <v>7</v>
      </c>
      <c r="L477" t="s">
        <v>1033</v>
      </c>
      <c r="M477" t="s">
        <v>1037</v>
      </c>
      <c r="N477">
        <v>2019</v>
      </c>
      <c r="O477" t="s">
        <v>1035</v>
      </c>
      <c r="P477">
        <v>1</v>
      </c>
    </row>
    <row r="478" spans="1:16" x14ac:dyDescent="0.3">
      <c r="A478" s="2" t="s">
        <v>976</v>
      </c>
      <c r="B478" s="2" t="s">
        <v>977</v>
      </c>
      <c r="C478" s="2" t="s">
        <v>11</v>
      </c>
      <c r="D478">
        <v>38</v>
      </c>
      <c r="E478" s="2" t="s">
        <v>12</v>
      </c>
      <c r="F478" s="2" t="s">
        <v>27</v>
      </c>
      <c r="G478">
        <v>176683</v>
      </c>
      <c r="H478" s="2" t="s">
        <v>14</v>
      </c>
      <c r="I478" s="3">
        <v>42325</v>
      </c>
      <c r="J478" t="s">
        <v>1029</v>
      </c>
      <c r="K478">
        <v>10</v>
      </c>
      <c r="L478" t="s">
        <v>1036</v>
      </c>
      <c r="M478" t="s">
        <v>1031</v>
      </c>
      <c r="N478">
        <v>2015</v>
      </c>
      <c r="O478" t="s">
        <v>1029</v>
      </c>
      <c r="P478">
        <v>2</v>
      </c>
    </row>
    <row r="479" spans="1:16" x14ac:dyDescent="0.3">
      <c r="A479" s="2" t="s">
        <v>978</v>
      </c>
      <c r="B479" s="2" t="s">
        <v>979</v>
      </c>
      <c r="C479" s="2" t="s">
        <v>17</v>
      </c>
      <c r="D479">
        <v>65</v>
      </c>
      <c r="E479" s="2" t="s">
        <v>34</v>
      </c>
      <c r="F479" s="2" t="s">
        <v>19</v>
      </c>
      <c r="G479">
        <v>139273</v>
      </c>
      <c r="H479" s="2" t="s">
        <v>20</v>
      </c>
      <c r="I479" s="3">
        <v>42602</v>
      </c>
      <c r="J479" t="s">
        <v>1038</v>
      </c>
      <c r="K479">
        <v>9</v>
      </c>
      <c r="L479" t="s">
        <v>1036</v>
      </c>
      <c r="M479" t="s">
        <v>1034</v>
      </c>
      <c r="N479">
        <v>2016</v>
      </c>
      <c r="O479" t="s">
        <v>1038</v>
      </c>
      <c r="P479">
        <v>4</v>
      </c>
    </row>
    <row r="480" spans="1:16" x14ac:dyDescent="0.3">
      <c r="A480" s="2" t="s">
        <v>980</v>
      </c>
      <c r="B480" s="2" t="s">
        <v>981</v>
      </c>
      <c r="C480" s="2" t="s">
        <v>11</v>
      </c>
      <c r="D480">
        <v>72</v>
      </c>
      <c r="E480" s="2" t="s">
        <v>18</v>
      </c>
      <c r="F480" s="2" t="s">
        <v>37</v>
      </c>
      <c r="G480">
        <v>192307</v>
      </c>
      <c r="H480" s="2" t="s">
        <v>20</v>
      </c>
      <c r="I480" s="3">
        <v>44108</v>
      </c>
      <c r="J480" t="s">
        <v>1038</v>
      </c>
      <c r="K480">
        <v>5</v>
      </c>
      <c r="L480" t="s">
        <v>1033</v>
      </c>
      <c r="M480" t="s">
        <v>1031</v>
      </c>
      <c r="N480">
        <v>2020</v>
      </c>
      <c r="O480" t="s">
        <v>1038</v>
      </c>
      <c r="P480">
        <v>4</v>
      </c>
    </row>
    <row r="481" spans="1:16" x14ac:dyDescent="0.3">
      <c r="A481" s="2" t="s">
        <v>982</v>
      </c>
      <c r="B481" s="2" t="s">
        <v>983</v>
      </c>
      <c r="C481" s="2" t="s">
        <v>17</v>
      </c>
      <c r="D481">
        <v>23</v>
      </c>
      <c r="E481" s="2" t="s">
        <v>18</v>
      </c>
      <c r="F481" s="2" t="s">
        <v>19</v>
      </c>
      <c r="G481">
        <v>186129</v>
      </c>
      <c r="H481" s="2" t="s">
        <v>14</v>
      </c>
      <c r="I481" s="3">
        <v>45476</v>
      </c>
      <c r="J481" t="s">
        <v>1035</v>
      </c>
      <c r="K481">
        <v>2</v>
      </c>
      <c r="L481" t="s">
        <v>1030</v>
      </c>
      <c r="M481" t="s">
        <v>1031</v>
      </c>
      <c r="N481">
        <v>2024</v>
      </c>
      <c r="O481" t="s">
        <v>1035</v>
      </c>
      <c r="P481">
        <v>1</v>
      </c>
    </row>
    <row r="482" spans="1:16" x14ac:dyDescent="0.3">
      <c r="A482" s="2" t="s">
        <v>984</v>
      </c>
      <c r="B482" s="2" t="s">
        <v>985</v>
      </c>
      <c r="C482" s="2" t="s">
        <v>17</v>
      </c>
      <c r="D482">
        <v>45</v>
      </c>
      <c r="E482" s="2" t="s">
        <v>18</v>
      </c>
      <c r="F482" s="2" t="s">
        <v>42</v>
      </c>
      <c r="G482">
        <v>152311</v>
      </c>
      <c r="H482" s="2" t="s">
        <v>14</v>
      </c>
      <c r="I482" s="3">
        <v>42411</v>
      </c>
      <c r="J482" t="s">
        <v>1032</v>
      </c>
      <c r="K482">
        <v>10</v>
      </c>
      <c r="L482" t="s">
        <v>1036</v>
      </c>
      <c r="M482" t="s">
        <v>1031</v>
      </c>
      <c r="N482">
        <v>2016</v>
      </c>
      <c r="O482" t="s">
        <v>1032</v>
      </c>
      <c r="P482">
        <v>3</v>
      </c>
    </row>
    <row r="483" spans="1:16" x14ac:dyDescent="0.3">
      <c r="A483" s="2" t="s">
        <v>986</v>
      </c>
      <c r="B483" s="2" t="s">
        <v>987</v>
      </c>
      <c r="C483" s="2" t="s">
        <v>17</v>
      </c>
      <c r="D483">
        <v>34</v>
      </c>
      <c r="E483" s="2" t="s">
        <v>18</v>
      </c>
      <c r="F483" s="2" t="s">
        <v>37</v>
      </c>
      <c r="G483">
        <v>146945</v>
      </c>
      <c r="H483" s="2" t="s">
        <v>14</v>
      </c>
      <c r="I483" s="3">
        <v>43553</v>
      </c>
      <c r="J483" t="s">
        <v>1029</v>
      </c>
      <c r="K483">
        <v>7</v>
      </c>
      <c r="L483" t="s">
        <v>1033</v>
      </c>
      <c r="M483" t="s">
        <v>1034</v>
      </c>
      <c r="N483">
        <v>2019</v>
      </c>
      <c r="O483" t="s">
        <v>1029</v>
      </c>
      <c r="P483">
        <v>2</v>
      </c>
    </row>
    <row r="484" spans="1:16" x14ac:dyDescent="0.3">
      <c r="A484" s="2" t="s">
        <v>988</v>
      </c>
      <c r="B484" s="2" t="s">
        <v>989</v>
      </c>
      <c r="C484" s="2" t="s">
        <v>11</v>
      </c>
      <c r="D484">
        <v>22</v>
      </c>
      <c r="E484" s="2" t="s">
        <v>30</v>
      </c>
      <c r="F484" s="2" t="s">
        <v>23</v>
      </c>
      <c r="G484">
        <v>65272</v>
      </c>
      <c r="H484" s="2" t="s">
        <v>20</v>
      </c>
      <c r="I484" s="3">
        <v>45512</v>
      </c>
      <c r="J484" t="s">
        <v>1035</v>
      </c>
      <c r="K484">
        <v>1</v>
      </c>
      <c r="L484" t="s">
        <v>1039</v>
      </c>
      <c r="M484" t="s">
        <v>1037</v>
      </c>
      <c r="N484">
        <v>2024</v>
      </c>
      <c r="O484" t="s">
        <v>1035</v>
      </c>
      <c r="P484">
        <v>1</v>
      </c>
    </row>
    <row r="485" spans="1:16" x14ac:dyDescent="0.3">
      <c r="A485" s="2" t="s">
        <v>990</v>
      </c>
      <c r="B485" s="2" t="s">
        <v>991</v>
      </c>
      <c r="C485" s="2" t="s">
        <v>17</v>
      </c>
      <c r="D485">
        <v>48</v>
      </c>
      <c r="E485" s="2" t="s">
        <v>30</v>
      </c>
      <c r="F485" s="2" t="s">
        <v>31</v>
      </c>
      <c r="G485">
        <v>109393</v>
      </c>
      <c r="H485" s="2" t="s">
        <v>14</v>
      </c>
      <c r="I485" s="3">
        <v>45087</v>
      </c>
      <c r="J485" t="s">
        <v>1032</v>
      </c>
      <c r="K485">
        <v>3</v>
      </c>
      <c r="L485" t="s">
        <v>1030</v>
      </c>
      <c r="M485" t="s">
        <v>1034</v>
      </c>
      <c r="N485">
        <v>2023</v>
      </c>
      <c r="O485" t="s">
        <v>1032</v>
      </c>
      <c r="P485">
        <v>3</v>
      </c>
    </row>
    <row r="486" spans="1:16" x14ac:dyDescent="0.3">
      <c r="A486" s="2" t="s">
        <v>992</v>
      </c>
      <c r="B486" s="2" t="s">
        <v>993</v>
      </c>
      <c r="C486" s="2" t="s">
        <v>11</v>
      </c>
      <c r="D486">
        <v>22</v>
      </c>
      <c r="E486" s="2" t="s">
        <v>34</v>
      </c>
      <c r="F486" s="2" t="s">
        <v>37</v>
      </c>
      <c r="G486">
        <v>81212</v>
      </c>
      <c r="H486" s="2" t="s">
        <v>20</v>
      </c>
      <c r="I486" s="3">
        <v>43346</v>
      </c>
      <c r="J486" t="s">
        <v>1035</v>
      </c>
      <c r="K486">
        <v>7</v>
      </c>
      <c r="L486" t="s">
        <v>1033</v>
      </c>
      <c r="M486" t="s">
        <v>1037</v>
      </c>
      <c r="N486">
        <v>2018</v>
      </c>
      <c r="O486" t="s">
        <v>1035</v>
      </c>
      <c r="P486">
        <v>1</v>
      </c>
    </row>
    <row r="487" spans="1:16" x14ac:dyDescent="0.3">
      <c r="A487" s="2" t="s">
        <v>994</v>
      </c>
      <c r="B487" s="2" t="s">
        <v>995</v>
      </c>
      <c r="C487" s="2" t="s">
        <v>17</v>
      </c>
      <c r="D487">
        <v>55</v>
      </c>
      <c r="E487" s="2" t="s">
        <v>18</v>
      </c>
      <c r="F487" s="2" t="s">
        <v>42</v>
      </c>
      <c r="G487">
        <v>166470</v>
      </c>
      <c r="H487" s="2" t="s">
        <v>14</v>
      </c>
      <c r="I487" s="3">
        <v>45621</v>
      </c>
      <c r="J487" t="s">
        <v>1032</v>
      </c>
      <c r="K487">
        <v>1</v>
      </c>
      <c r="L487" t="s">
        <v>1039</v>
      </c>
      <c r="M487" t="s">
        <v>1031</v>
      </c>
      <c r="N487">
        <v>2024</v>
      </c>
      <c r="O487" t="s">
        <v>1032</v>
      </c>
      <c r="P487">
        <v>3</v>
      </c>
    </row>
    <row r="488" spans="1:16" x14ac:dyDescent="0.3">
      <c r="A488" s="2" t="s">
        <v>996</v>
      </c>
      <c r="B488" s="2" t="s">
        <v>997</v>
      </c>
      <c r="C488" s="2" t="s">
        <v>11</v>
      </c>
      <c r="D488">
        <v>20</v>
      </c>
      <c r="E488" s="2" t="s">
        <v>18</v>
      </c>
      <c r="F488" s="2" t="s">
        <v>42</v>
      </c>
      <c r="G488">
        <v>140030</v>
      </c>
      <c r="H488" s="2" t="s">
        <v>20</v>
      </c>
      <c r="I488" s="3">
        <v>44975</v>
      </c>
      <c r="J488" t="s">
        <v>1035</v>
      </c>
      <c r="K488">
        <v>3</v>
      </c>
      <c r="L488" t="s">
        <v>1030</v>
      </c>
      <c r="M488" t="s">
        <v>1034</v>
      </c>
      <c r="N488">
        <v>2023</v>
      </c>
      <c r="O488" t="s">
        <v>1035</v>
      </c>
      <c r="P488">
        <v>1</v>
      </c>
    </row>
    <row r="489" spans="1:16" x14ac:dyDescent="0.3">
      <c r="A489" s="2" t="s">
        <v>998</v>
      </c>
      <c r="B489" s="2" t="s">
        <v>999</v>
      </c>
      <c r="C489" s="2" t="s">
        <v>17</v>
      </c>
      <c r="D489">
        <v>70</v>
      </c>
      <c r="E489" s="2" t="s">
        <v>12</v>
      </c>
      <c r="F489" s="2" t="s">
        <v>19</v>
      </c>
      <c r="G489">
        <v>76503</v>
      </c>
      <c r="H489" s="2" t="s">
        <v>14</v>
      </c>
      <c r="I489" s="3">
        <v>45681</v>
      </c>
      <c r="J489" t="s">
        <v>1038</v>
      </c>
      <c r="K489">
        <v>1</v>
      </c>
      <c r="L489" t="s">
        <v>1039</v>
      </c>
      <c r="M489" t="s">
        <v>1037</v>
      </c>
      <c r="N489">
        <v>2025</v>
      </c>
      <c r="O489" t="s">
        <v>1038</v>
      </c>
      <c r="P489">
        <v>4</v>
      </c>
    </row>
    <row r="490" spans="1:16" x14ac:dyDescent="0.3">
      <c r="A490" s="2" t="s">
        <v>1000</v>
      </c>
      <c r="B490" s="2" t="s">
        <v>1001</v>
      </c>
      <c r="C490" s="2" t="s">
        <v>11</v>
      </c>
      <c r="D490">
        <v>40</v>
      </c>
      <c r="E490" s="2" t="s">
        <v>30</v>
      </c>
      <c r="F490" s="2" t="s">
        <v>27</v>
      </c>
      <c r="G490">
        <v>157710</v>
      </c>
      <c r="H490" s="2" t="s">
        <v>14</v>
      </c>
      <c r="I490" s="3">
        <v>45104</v>
      </c>
      <c r="J490" t="s">
        <v>1029</v>
      </c>
      <c r="K490">
        <v>3</v>
      </c>
      <c r="L490" t="s">
        <v>1030</v>
      </c>
      <c r="M490" t="s">
        <v>1031</v>
      </c>
      <c r="N490">
        <v>2023</v>
      </c>
      <c r="O490" t="s">
        <v>1029</v>
      </c>
      <c r="P490">
        <v>2</v>
      </c>
    </row>
    <row r="491" spans="1:16" x14ac:dyDescent="0.3">
      <c r="A491" s="2" t="s">
        <v>1002</v>
      </c>
      <c r="B491" s="2" t="s">
        <v>1003</v>
      </c>
      <c r="C491" s="2" t="s">
        <v>11</v>
      </c>
      <c r="D491">
        <v>54</v>
      </c>
      <c r="E491" s="2" t="s">
        <v>18</v>
      </c>
      <c r="F491" s="2" t="s">
        <v>37</v>
      </c>
      <c r="G491">
        <v>26570</v>
      </c>
      <c r="H491" s="2" t="s">
        <v>14</v>
      </c>
      <c r="I491" s="3">
        <v>44800</v>
      </c>
      <c r="J491" t="s">
        <v>1032</v>
      </c>
      <c r="K491">
        <v>3</v>
      </c>
      <c r="L491" t="s">
        <v>1030</v>
      </c>
      <c r="M491" t="s">
        <v>1037</v>
      </c>
      <c r="N491">
        <v>2022</v>
      </c>
      <c r="O491" t="s">
        <v>1032</v>
      </c>
      <c r="P491">
        <v>3</v>
      </c>
    </row>
    <row r="492" spans="1:16" x14ac:dyDescent="0.3">
      <c r="A492" s="2" t="s">
        <v>1004</v>
      </c>
      <c r="B492" s="2" t="s">
        <v>1005</v>
      </c>
      <c r="C492" s="2" t="s">
        <v>17</v>
      </c>
      <c r="D492">
        <v>70</v>
      </c>
      <c r="E492" s="2" t="s">
        <v>34</v>
      </c>
      <c r="F492" s="2" t="s">
        <v>31</v>
      </c>
      <c r="G492">
        <v>88785</v>
      </c>
      <c r="H492" s="2" t="s">
        <v>20</v>
      </c>
      <c r="I492" s="3">
        <v>44778</v>
      </c>
      <c r="J492" t="s">
        <v>1038</v>
      </c>
      <c r="K492">
        <v>3</v>
      </c>
      <c r="L492" t="s">
        <v>1030</v>
      </c>
      <c r="M492" t="s">
        <v>1037</v>
      </c>
      <c r="N492">
        <v>2022</v>
      </c>
      <c r="O492" t="s">
        <v>1038</v>
      </c>
      <c r="P492">
        <v>4</v>
      </c>
    </row>
    <row r="493" spans="1:16" x14ac:dyDescent="0.3">
      <c r="A493" s="2" t="s">
        <v>1006</v>
      </c>
      <c r="B493" s="2" t="s">
        <v>1007</v>
      </c>
      <c r="C493" s="2" t="s">
        <v>11</v>
      </c>
      <c r="D493">
        <v>54</v>
      </c>
      <c r="E493" s="2" t="s">
        <v>34</v>
      </c>
      <c r="F493" s="2" t="s">
        <v>37</v>
      </c>
      <c r="G493">
        <v>29110</v>
      </c>
      <c r="H493" s="2" t="s">
        <v>14</v>
      </c>
      <c r="I493" s="3">
        <v>44859</v>
      </c>
      <c r="J493" t="s">
        <v>1032</v>
      </c>
      <c r="K493">
        <v>3</v>
      </c>
      <c r="L493" t="s">
        <v>1030</v>
      </c>
      <c r="M493" t="s">
        <v>1037</v>
      </c>
      <c r="N493">
        <v>2022</v>
      </c>
      <c r="O493" t="s">
        <v>1032</v>
      </c>
      <c r="P493">
        <v>3</v>
      </c>
    </row>
    <row r="494" spans="1:16" x14ac:dyDescent="0.3">
      <c r="A494" s="2" t="s">
        <v>1008</v>
      </c>
      <c r="B494" s="2" t="s">
        <v>1009</v>
      </c>
      <c r="C494" s="2" t="s">
        <v>11</v>
      </c>
      <c r="D494">
        <v>27</v>
      </c>
      <c r="E494" s="2" t="s">
        <v>30</v>
      </c>
      <c r="F494" s="2" t="s">
        <v>13</v>
      </c>
      <c r="G494">
        <v>99141</v>
      </c>
      <c r="H494" s="2" t="s">
        <v>14</v>
      </c>
      <c r="I494" s="3">
        <v>45393</v>
      </c>
      <c r="J494" t="s">
        <v>1035</v>
      </c>
      <c r="K494">
        <v>2</v>
      </c>
      <c r="L494" t="s">
        <v>1030</v>
      </c>
      <c r="M494" t="s">
        <v>1037</v>
      </c>
      <c r="N494">
        <v>2024</v>
      </c>
      <c r="O494" t="s">
        <v>1035</v>
      </c>
      <c r="P494">
        <v>1</v>
      </c>
    </row>
    <row r="495" spans="1:16" x14ac:dyDescent="0.3">
      <c r="A495" s="2" t="s">
        <v>1010</v>
      </c>
      <c r="B495" s="2" t="s">
        <v>1011</v>
      </c>
      <c r="C495" s="2" t="s">
        <v>17</v>
      </c>
      <c r="D495">
        <v>27</v>
      </c>
      <c r="E495" s="2" t="s">
        <v>34</v>
      </c>
      <c r="F495" s="2" t="s">
        <v>27</v>
      </c>
      <c r="G495">
        <v>32115</v>
      </c>
      <c r="H495" s="2" t="s">
        <v>14</v>
      </c>
      <c r="I495" s="3">
        <v>44267</v>
      </c>
      <c r="J495" t="s">
        <v>1035</v>
      </c>
      <c r="K495">
        <v>5</v>
      </c>
      <c r="L495" t="s">
        <v>1033</v>
      </c>
      <c r="M495" t="s">
        <v>1037</v>
      </c>
      <c r="N495">
        <v>2021</v>
      </c>
      <c r="O495" t="s">
        <v>1035</v>
      </c>
      <c r="P495">
        <v>1</v>
      </c>
    </row>
    <row r="496" spans="1:16" x14ac:dyDescent="0.3">
      <c r="A496" s="2" t="s">
        <v>1012</v>
      </c>
      <c r="B496" s="2" t="s">
        <v>1013</v>
      </c>
      <c r="C496" s="2" t="s">
        <v>11</v>
      </c>
      <c r="D496">
        <v>36</v>
      </c>
      <c r="E496" s="2" t="s">
        <v>34</v>
      </c>
      <c r="F496" s="2" t="s">
        <v>31</v>
      </c>
      <c r="G496">
        <v>59062</v>
      </c>
      <c r="H496" s="2" t="s">
        <v>14</v>
      </c>
      <c r="I496" s="3">
        <v>44585</v>
      </c>
      <c r="J496" t="s">
        <v>1029</v>
      </c>
      <c r="K496">
        <v>4</v>
      </c>
      <c r="L496" t="s">
        <v>1033</v>
      </c>
      <c r="M496" t="s">
        <v>1037</v>
      </c>
      <c r="N496">
        <v>2022</v>
      </c>
      <c r="O496" t="s">
        <v>1029</v>
      </c>
      <c r="P496">
        <v>2</v>
      </c>
    </row>
    <row r="497" spans="1:16" x14ac:dyDescent="0.3">
      <c r="A497" s="2" t="s">
        <v>1014</v>
      </c>
      <c r="B497" s="2" t="s">
        <v>1015</v>
      </c>
      <c r="C497" s="2" t="s">
        <v>11</v>
      </c>
      <c r="D497">
        <v>34</v>
      </c>
      <c r="E497" s="2" t="s">
        <v>30</v>
      </c>
      <c r="F497" s="2" t="s">
        <v>31</v>
      </c>
      <c r="G497">
        <v>42911</v>
      </c>
      <c r="H497" s="2" t="s">
        <v>20</v>
      </c>
      <c r="I497" s="3">
        <v>42920</v>
      </c>
      <c r="J497" t="s">
        <v>1029</v>
      </c>
      <c r="K497">
        <v>9</v>
      </c>
      <c r="L497" t="s">
        <v>1036</v>
      </c>
      <c r="M497" t="s">
        <v>1037</v>
      </c>
      <c r="N497">
        <v>2017</v>
      </c>
      <c r="O497" t="s">
        <v>1029</v>
      </c>
      <c r="P497">
        <v>2</v>
      </c>
    </row>
    <row r="498" spans="1:16" x14ac:dyDescent="0.3">
      <c r="A498" s="2" t="s">
        <v>1016</v>
      </c>
      <c r="B498" s="2" t="s">
        <v>1017</v>
      </c>
      <c r="C498" s="2" t="s">
        <v>11</v>
      </c>
      <c r="D498">
        <v>38</v>
      </c>
      <c r="E498" s="2" t="s">
        <v>18</v>
      </c>
      <c r="F498" s="2" t="s">
        <v>23</v>
      </c>
      <c r="G498">
        <v>124061</v>
      </c>
      <c r="H498" s="2" t="s">
        <v>20</v>
      </c>
      <c r="I498" s="3">
        <v>45451</v>
      </c>
      <c r="J498" t="s">
        <v>1029</v>
      </c>
      <c r="K498">
        <v>2</v>
      </c>
      <c r="L498" t="s">
        <v>1030</v>
      </c>
      <c r="M498" t="s">
        <v>1034</v>
      </c>
      <c r="N498">
        <v>2024</v>
      </c>
      <c r="O498" t="s">
        <v>1029</v>
      </c>
      <c r="P498">
        <v>2</v>
      </c>
    </row>
    <row r="499" spans="1:16" x14ac:dyDescent="0.3">
      <c r="A499" s="2" t="s">
        <v>1018</v>
      </c>
      <c r="B499" s="2" t="s">
        <v>1019</v>
      </c>
      <c r="C499" s="2" t="s">
        <v>17</v>
      </c>
      <c r="D499">
        <v>31</v>
      </c>
      <c r="E499" s="2" t="s">
        <v>18</v>
      </c>
      <c r="F499" s="2" t="s">
        <v>19</v>
      </c>
      <c r="G499">
        <v>52556</v>
      </c>
      <c r="H499" s="2" t="s">
        <v>20</v>
      </c>
      <c r="I499" s="3">
        <v>42561</v>
      </c>
      <c r="J499" t="s">
        <v>1029</v>
      </c>
      <c r="K499">
        <v>9</v>
      </c>
      <c r="L499" t="s">
        <v>1036</v>
      </c>
      <c r="M499" t="s">
        <v>1037</v>
      </c>
      <c r="N499">
        <v>2016</v>
      </c>
      <c r="O499" t="s">
        <v>1029</v>
      </c>
      <c r="P499">
        <v>2</v>
      </c>
    </row>
    <row r="500" spans="1:16" x14ac:dyDescent="0.3">
      <c r="A500" s="2" t="s">
        <v>1020</v>
      </c>
      <c r="B500" s="2" t="s">
        <v>1021</v>
      </c>
      <c r="C500" s="2" t="s">
        <v>11</v>
      </c>
      <c r="D500">
        <v>26</v>
      </c>
      <c r="E500" s="2" t="s">
        <v>34</v>
      </c>
      <c r="F500" s="2" t="s">
        <v>23</v>
      </c>
      <c r="G500">
        <v>148335</v>
      </c>
      <c r="H500" s="2" t="s">
        <v>14</v>
      </c>
      <c r="I500" s="3">
        <v>45443</v>
      </c>
      <c r="J500" t="s">
        <v>1035</v>
      </c>
      <c r="K500">
        <v>2</v>
      </c>
      <c r="L500" t="s">
        <v>1030</v>
      </c>
      <c r="M500" t="s">
        <v>1034</v>
      </c>
      <c r="N500">
        <v>2024</v>
      </c>
      <c r="O500" t="s">
        <v>1035</v>
      </c>
      <c r="P500">
        <v>1</v>
      </c>
    </row>
    <row r="501" spans="1:16" x14ac:dyDescent="0.3">
      <c r="A501" s="2" t="s">
        <v>1022</v>
      </c>
      <c r="B501" s="2" t="s">
        <v>1023</v>
      </c>
      <c r="C501" s="2" t="s">
        <v>17</v>
      </c>
      <c r="D501">
        <v>63</v>
      </c>
      <c r="E501" s="2" t="s">
        <v>34</v>
      </c>
      <c r="F501" s="2" t="s">
        <v>31</v>
      </c>
      <c r="G501">
        <v>21969</v>
      </c>
      <c r="H501" s="2" t="s">
        <v>20</v>
      </c>
      <c r="I501" s="3">
        <v>45488</v>
      </c>
      <c r="J501" t="s">
        <v>1038</v>
      </c>
      <c r="K501">
        <v>1</v>
      </c>
      <c r="L501" t="s">
        <v>1039</v>
      </c>
      <c r="M501" t="s">
        <v>1037</v>
      </c>
      <c r="N501">
        <v>2024</v>
      </c>
      <c r="O501" t="s">
        <v>1038</v>
      </c>
      <c r="P501">
        <v>4</v>
      </c>
    </row>
  </sheetData>
  <phoneticPr fontId="18"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4D197-A803-40AA-8C56-5FE8F4242E75}">
  <dimension ref="B2:L35"/>
  <sheetViews>
    <sheetView workbookViewId="0">
      <selection activeCell="R18" sqref="R18"/>
    </sheetView>
  </sheetViews>
  <sheetFormatPr defaultRowHeight="14.4" x14ac:dyDescent="0.3"/>
  <cols>
    <col min="2" max="2" width="12.44140625" bestFit="1" customWidth="1"/>
    <col min="3" max="3" width="18.21875" bestFit="1" customWidth="1"/>
    <col min="4" max="4" width="5" bestFit="1" customWidth="1"/>
    <col min="5" max="5" width="12.77734375" bestFit="1" customWidth="1"/>
    <col min="6" max="6" width="10" bestFit="1" customWidth="1"/>
    <col min="8" max="8" width="12.44140625" bestFit="1" customWidth="1"/>
    <col min="9" max="9" width="18.21875" bestFit="1" customWidth="1"/>
    <col min="10" max="10" width="5" bestFit="1" customWidth="1"/>
    <col min="11" max="11" width="14.44140625" bestFit="1" customWidth="1"/>
    <col min="12" max="12" width="15.5546875" bestFit="1" customWidth="1"/>
    <col min="13" max="13" width="6.6640625" bestFit="1" customWidth="1"/>
    <col min="14" max="14" width="5.33203125" bestFit="1" customWidth="1"/>
    <col min="15" max="15" width="4.6640625" bestFit="1" customWidth="1"/>
    <col min="16" max="16" width="10.5546875" bestFit="1" customWidth="1"/>
  </cols>
  <sheetData>
    <row r="2" spans="2:11" x14ac:dyDescent="0.3">
      <c r="B2" s="13" t="s">
        <v>1046</v>
      </c>
      <c r="E2" s="13" t="s">
        <v>1051</v>
      </c>
      <c r="H2" s="13" t="s">
        <v>1052</v>
      </c>
      <c r="K2" s="13" t="s">
        <v>1053</v>
      </c>
    </row>
    <row r="3" spans="2:11" x14ac:dyDescent="0.3">
      <c r="B3" t="s">
        <v>1045</v>
      </c>
      <c r="E3" t="s">
        <v>1047</v>
      </c>
      <c r="H3" t="s">
        <v>1048</v>
      </c>
      <c r="K3" t="s">
        <v>1050</v>
      </c>
    </row>
    <row r="4" spans="2:11" x14ac:dyDescent="0.3">
      <c r="B4" s="8">
        <v>500</v>
      </c>
      <c r="E4" s="9">
        <v>46.28</v>
      </c>
      <c r="H4" s="12">
        <v>114398.822</v>
      </c>
      <c r="K4" s="9">
        <v>5.4420000000000002</v>
      </c>
    </row>
    <row r="7" spans="2:11" x14ac:dyDescent="0.3">
      <c r="B7" s="14" t="s">
        <v>1055</v>
      </c>
      <c r="C7" s="14"/>
      <c r="D7" s="14"/>
      <c r="H7" s="14" t="s">
        <v>1057</v>
      </c>
      <c r="I7" s="14"/>
      <c r="J7" s="14"/>
    </row>
    <row r="8" spans="2:11" x14ac:dyDescent="0.3">
      <c r="B8" s="4" t="s">
        <v>1045</v>
      </c>
      <c r="C8" s="4" t="s">
        <v>1049</v>
      </c>
      <c r="H8" s="4" t="s">
        <v>1045</v>
      </c>
      <c r="I8" s="4" t="s">
        <v>1049</v>
      </c>
    </row>
    <row r="9" spans="2:11" x14ac:dyDescent="0.3">
      <c r="B9" s="4" t="s">
        <v>1044</v>
      </c>
      <c r="C9" t="s">
        <v>17</v>
      </c>
      <c r="D9" t="s">
        <v>11</v>
      </c>
      <c r="H9" s="4" t="s">
        <v>1044</v>
      </c>
      <c r="I9" t="s">
        <v>17</v>
      </c>
      <c r="J9" t="s">
        <v>11</v>
      </c>
    </row>
    <row r="10" spans="2:11" x14ac:dyDescent="0.3">
      <c r="B10" s="5" t="s">
        <v>1035</v>
      </c>
      <c r="C10" s="2">
        <v>39</v>
      </c>
      <c r="D10" s="2">
        <v>47</v>
      </c>
      <c r="H10" s="5" t="s">
        <v>1034</v>
      </c>
      <c r="I10" s="2">
        <v>67</v>
      </c>
      <c r="J10" s="2">
        <v>69</v>
      </c>
    </row>
    <row r="11" spans="2:11" x14ac:dyDescent="0.3">
      <c r="B11" s="5" t="s">
        <v>1029</v>
      </c>
      <c r="C11" s="2">
        <v>71</v>
      </c>
      <c r="D11" s="2">
        <v>76</v>
      </c>
      <c r="H11" s="5" t="s">
        <v>1031</v>
      </c>
      <c r="I11" s="2">
        <v>81</v>
      </c>
      <c r="J11" s="2">
        <v>72</v>
      </c>
    </row>
    <row r="12" spans="2:11" x14ac:dyDescent="0.3">
      <c r="B12" s="5" t="s">
        <v>1032</v>
      </c>
      <c r="C12" s="2">
        <v>70</v>
      </c>
      <c r="D12" s="2">
        <v>71</v>
      </c>
      <c r="H12" s="5" t="s">
        <v>1037</v>
      </c>
      <c r="I12" s="2">
        <v>108</v>
      </c>
      <c r="J12" s="2">
        <v>103</v>
      </c>
    </row>
    <row r="13" spans="2:11" x14ac:dyDescent="0.3">
      <c r="B13" s="5" t="s">
        <v>1038</v>
      </c>
      <c r="C13" s="2">
        <v>76</v>
      </c>
      <c r="D13" s="2">
        <v>50</v>
      </c>
    </row>
    <row r="16" spans="2:11" x14ac:dyDescent="0.3">
      <c r="B16" s="14" t="s">
        <v>1054</v>
      </c>
      <c r="C16" s="14"/>
      <c r="H16" s="14" t="s">
        <v>1058</v>
      </c>
      <c r="I16" s="14"/>
      <c r="J16" s="14"/>
    </row>
    <row r="17" spans="2:12" x14ac:dyDescent="0.3">
      <c r="B17" s="4" t="s">
        <v>1044</v>
      </c>
      <c r="C17" t="s">
        <v>1045</v>
      </c>
      <c r="E17" t="str" cm="1">
        <f t="array" ref="E17">INDEX(B18:B21,MATCH(MAX(C18:C21),C18:C21),0)</f>
        <v>Loyal</v>
      </c>
      <c r="H17" s="4" t="s">
        <v>1044</v>
      </c>
      <c r="I17" t="s">
        <v>1045</v>
      </c>
      <c r="L17" s="11" t="s">
        <v>1062</v>
      </c>
    </row>
    <row r="18" spans="2:12" x14ac:dyDescent="0.3">
      <c r="B18" s="5" t="s">
        <v>1030</v>
      </c>
      <c r="C18" s="7">
        <v>0.20399999999999999</v>
      </c>
      <c r="H18" s="5">
        <v>2015</v>
      </c>
      <c r="I18" s="2">
        <v>18</v>
      </c>
      <c r="L18" t="s">
        <v>1035</v>
      </c>
    </row>
    <row r="19" spans="2:12" x14ac:dyDescent="0.3">
      <c r="B19" s="5" t="s">
        <v>1036</v>
      </c>
      <c r="C19" s="7">
        <v>0.28799999999999998</v>
      </c>
      <c r="E19" s="10">
        <f>MAX(C18:C21)</f>
        <v>0.40200000000000002</v>
      </c>
      <c r="H19" s="5">
        <v>2016</v>
      </c>
      <c r="I19" s="2">
        <v>42</v>
      </c>
      <c r="L19" t="s">
        <v>1029</v>
      </c>
    </row>
    <row r="20" spans="2:12" x14ac:dyDescent="0.3">
      <c r="B20" s="5" t="s">
        <v>1033</v>
      </c>
      <c r="C20" s="7">
        <v>0.40200000000000002</v>
      </c>
      <c r="E20" s="6" t="str" cm="1">
        <f t="array" ref="E20">INDEX(B18:B21,MATCH(MAX(C18:C21),C18:C21),0)</f>
        <v>Loyal</v>
      </c>
      <c r="H20" s="5">
        <v>2017</v>
      </c>
      <c r="I20" s="2">
        <v>66</v>
      </c>
      <c r="L20" t="s">
        <v>1032</v>
      </c>
    </row>
    <row r="21" spans="2:12" x14ac:dyDescent="0.3">
      <c r="B21" s="5" t="s">
        <v>1039</v>
      </c>
      <c r="C21" s="7">
        <v>0.106</v>
      </c>
      <c r="H21" s="5">
        <v>2018</v>
      </c>
      <c r="I21" s="2">
        <v>45</v>
      </c>
      <c r="L21" t="s">
        <v>1063</v>
      </c>
    </row>
    <row r="22" spans="2:12" x14ac:dyDescent="0.3">
      <c r="H22" s="5">
        <v>2019</v>
      </c>
      <c r="I22" s="2">
        <v>59</v>
      </c>
    </row>
    <row r="23" spans="2:12" x14ac:dyDescent="0.3">
      <c r="H23" s="5">
        <v>2020</v>
      </c>
      <c r="I23" s="2">
        <v>45</v>
      </c>
    </row>
    <row r="24" spans="2:12" x14ac:dyDescent="0.3">
      <c r="H24" s="5">
        <v>2021</v>
      </c>
      <c r="I24" s="2">
        <v>49</v>
      </c>
    </row>
    <row r="25" spans="2:12" x14ac:dyDescent="0.3">
      <c r="B25" s="14" t="s">
        <v>1056</v>
      </c>
      <c r="C25" s="14"/>
      <c r="H25" s="5">
        <v>2022</v>
      </c>
      <c r="I25" s="2">
        <v>52</v>
      </c>
    </row>
    <row r="26" spans="2:12" x14ac:dyDescent="0.3">
      <c r="B26" s="4" t="s">
        <v>1045</v>
      </c>
      <c r="C26" s="4" t="s">
        <v>1049</v>
      </c>
      <c r="H26" s="5">
        <v>2023</v>
      </c>
      <c r="I26" s="2">
        <v>48</v>
      </c>
    </row>
    <row r="27" spans="2:12" x14ac:dyDescent="0.3">
      <c r="B27" s="4" t="s">
        <v>1044</v>
      </c>
      <c r="C27" t="s">
        <v>17</v>
      </c>
      <c r="D27" t="s">
        <v>11</v>
      </c>
      <c r="H27" s="5">
        <v>2024</v>
      </c>
      <c r="I27" s="2">
        <v>51</v>
      </c>
    </row>
    <row r="28" spans="2:12" x14ac:dyDescent="0.3">
      <c r="B28" s="5" t="s">
        <v>27</v>
      </c>
      <c r="C28" s="2">
        <v>36</v>
      </c>
      <c r="D28" s="2">
        <v>34</v>
      </c>
      <c r="H28" s="5">
        <v>2025</v>
      </c>
      <c r="I28" s="2">
        <v>25</v>
      </c>
    </row>
    <row r="29" spans="2:12" x14ac:dyDescent="0.3">
      <c r="B29" s="5" t="s">
        <v>13</v>
      </c>
      <c r="C29" s="2">
        <v>44</v>
      </c>
      <c r="D29" s="2">
        <v>28</v>
      </c>
    </row>
    <row r="30" spans="2:12" x14ac:dyDescent="0.3">
      <c r="B30" s="5" t="s">
        <v>37</v>
      </c>
      <c r="C30" s="2">
        <v>34</v>
      </c>
      <c r="D30" s="2">
        <v>44</v>
      </c>
      <c r="H30" s="14" t="s">
        <v>1054</v>
      </c>
      <c r="I30" s="14"/>
    </row>
    <row r="31" spans="2:12" x14ac:dyDescent="0.3">
      <c r="B31" s="5" t="s">
        <v>42</v>
      </c>
      <c r="C31" s="2">
        <v>34</v>
      </c>
      <c r="D31" s="2">
        <v>41</v>
      </c>
      <c r="H31" s="4" t="s">
        <v>1044</v>
      </c>
      <c r="I31" t="s">
        <v>1045</v>
      </c>
    </row>
    <row r="32" spans="2:12" x14ac:dyDescent="0.3">
      <c r="B32" s="5" t="s">
        <v>31</v>
      </c>
      <c r="C32" s="2">
        <v>36</v>
      </c>
      <c r="D32" s="2">
        <v>33</v>
      </c>
      <c r="H32" s="5" t="s">
        <v>1033</v>
      </c>
      <c r="I32" s="7">
        <v>0.40200000000000002</v>
      </c>
    </row>
    <row r="33" spans="2:9" x14ac:dyDescent="0.3">
      <c r="B33" s="5" t="s">
        <v>23</v>
      </c>
      <c r="C33" s="2">
        <v>43</v>
      </c>
      <c r="D33" s="2">
        <v>34</v>
      </c>
      <c r="H33" s="5" t="s">
        <v>1036</v>
      </c>
      <c r="I33" s="7">
        <v>0.28799999999999998</v>
      </c>
    </row>
    <row r="34" spans="2:9" x14ac:dyDescent="0.3">
      <c r="B34" s="5" t="s">
        <v>19</v>
      </c>
      <c r="C34" s="2">
        <v>29</v>
      </c>
      <c r="D34" s="2">
        <v>30</v>
      </c>
      <c r="H34" s="5" t="s">
        <v>1030</v>
      </c>
      <c r="I34" s="7">
        <v>0.20399999999999999</v>
      </c>
    </row>
    <row r="35" spans="2:9" x14ac:dyDescent="0.3">
      <c r="H35" s="5" t="s">
        <v>1039</v>
      </c>
      <c r="I35" s="7">
        <v>0.106</v>
      </c>
    </row>
  </sheetData>
  <mergeCells count="6">
    <mergeCell ref="H30:I30"/>
    <mergeCell ref="B7:D7"/>
    <mergeCell ref="B16:C16"/>
    <mergeCell ref="B25:C25"/>
    <mergeCell ref="H7:J7"/>
    <mergeCell ref="H16:J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0E409-C7D7-4F2D-BA3A-837F1BFAE0A2}">
  <dimension ref="A1"/>
  <sheetViews>
    <sheetView showGridLines="0" zoomScale="90" zoomScaleNormal="90" workbookViewId="0">
      <selection activeCell="Y15" sqref="Y15"/>
    </sheetView>
  </sheetViews>
  <sheetFormatPr defaultRowHeight="14.4" x14ac:dyDescent="0.3"/>
  <cols>
    <col min="1" max="16384" width="8.88671875" style="11"/>
  </cols>
  <sheetData>
    <row r="1" s="11" customFormat="1"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050AE-BF49-4D0D-BD76-E084E84B0332}">
  <dimension ref="A1"/>
  <sheetViews>
    <sheetView showGridLines="0" zoomScale="90" zoomScaleNormal="90" workbookViewId="0"/>
  </sheetViews>
  <sheetFormatPr defaultRowHeight="14.4" x14ac:dyDescent="0.3"/>
  <cols>
    <col min="1" max="16384" width="8.88671875" style="11"/>
  </cols>
  <sheetData>
    <row r="1" s="11" customFormat="1"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19CB2-5742-4F38-A95D-8DBC5041770C}">
  <dimension ref="A1"/>
  <sheetViews>
    <sheetView showGridLines="0" tabSelected="1" topLeftCell="B1" zoomScale="95" zoomScaleNormal="95" workbookViewId="0">
      <selection activeCell="C23" sqref="C23"/>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4AAEC-A618-4302-8526-934BB087688B}">
  <dimension ref="A1"/>
  <sheetViews>
    <sheetView showGridLines="0" zoomScale="78" zoomScaleNormal="78" workbookViewId="0">
      <selection activeCell="C9" sqref="C9"/>
    </sheetView>
  </sheetViews>
  <sheetFormatPr defaultRowHeight="14.4" x14ac:dyDescent="0.3"/>
  <cols>
    <col min="1" max="16384" width="8.88671875" style="11"/>
  </cols>
  <sheetData>
    <row r="1" s="11"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13717-B0B2-4381-9277-7578C8B38A81}">
  <dimension ref="A1"/>
  <sheetViews>
    <sheetView showGridLines="0" zoomScale="90" zoomScaleNormal="90" workbookViewId="0"/>
  </sheetViews>
  <sheetFormatPr defaultRowHeight="14.4" x14ac:dyDescent="0.3"/>
  <cols>
    <col min="1" max="16384" width="8.88671875" style="11"/>
  </cols>
  <sheetData>
    <row r="1" s="11" customFormat="1"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3DD68-8F9A-4915-8A91-24FD5416492E}">
  <dimension ref="A1"/>
  <sheetViews>
    <sheetView showGridLines="0" zoomScale="90" zoomScaleNormal="90" workbookViewId="0"/>
  </sheetViews>
  <sheetFormatPr defaultRowHeight="14.4" x14ac:dyDescent="0.3"/>
  <cols>
    <col min="1" max="16384" width="8.88671875" style="11"/>
  </cols>
  <sheetData>
    <row r="1" s="11" customFormat="1"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9CE3DD-D98A-4FEA-8500-9906D84E77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raw_customers</vt:lpstr>
      <vt:lpstr>customer</vt:lpstr>
      <vt:lpstr>Calculations</vt:lpstr>
      <vt:lpstr>Pre Analysis</vt:lpstr>
      <vt:lpstr>In Analysis</vt:lpstr>
      <vt:lpstr>Dashboard</vt:lpstr>
      <vt:lpstr>Dashboard (No Figure)</vt:lpstr>
      <vt:lpstr>Post Analysis </vt:lpstr>
      <vt:lpstr>Post Analysis  2</vt:lpstr>
      <vt:lpstr>avgage</vt:lpstr>
      <vt:lpstr>avgincome</vt:lpstr>
      <vt:lpstr>maxtenure</vt:lpstr>
      <vt:lpstr>maxtenureval</vt:lpstr>
      <vt:lpstr>tenure</vt:lpstr>
      <vt:lpstr>totalcustomer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David_Ojo</dc:creator>
  <cp:lastModifiedBy>David Ojo</cp:lastModifiedBy>
  <dcterms:created xsi:type="dcterms:W3CDTF">2026-01-02T16:19:27Z</dcterms:created>
  <dcterms:modified xsi:type="dcterms:W3CDTF">2026-01-02T20:03:35Z</dcterms:modified>
</cp:coreProperties>
</file>